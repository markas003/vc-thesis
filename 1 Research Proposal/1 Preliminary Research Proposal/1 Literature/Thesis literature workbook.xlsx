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eading list" sheetId="2" state="visible" r:id="rId4"/>
    <sheet name="Parked and dropped" sheetId="3" state="visible" r:id="rId5"/>
    <sheet name="Prompts" sheetId="4" state="visible" r:id="rId6"/>
    <sheet name="Notes" sheetId="5" state="visible" r:id="rId7"/>
    <sheet name="L1 Theories" sheetId="6" state="visible" r:id="rId8"/>
    <sheet name="L2 Outcomes" sheetId="7" state="visible" r:id="rId9"/>
    <sheet name="L3 Distance" sheetId="8" state="visible" r:id="rId10"/>
    <sheet name="L4 Moderators" sheetId="9" state="visible" r:id="rId11"/>
    <sheet name="L5 Controls" sheetId="10" state="visible" r:id="rId12"/>
    <sheet name="L6 Fixed effects" sheetId="11" state="visible" r:id="rId13"/>
    <sheet name="L7 Robustness" sheetId="12" state="visible" r:id="rId14"/>
    <sheet name="L8 Data" sheetId="13" state="visible" r:id="rId15"/>
    <sheet name="L9 Limitations" sheetId="14" state="visible" r:id="rId16"/>
    <sheet name="Counts" sheetId="15" state="visible" r:id="rId17"/>
    <sheet name="Decisions" sheetId="16" state="visible" r:id="rId18"/>
  </sheets>
  <definedNames>
    <definedName function="false" hidden="true" localSheetId="15" name="_xlnm._FilterDatabase" vbProcedure="false">Decisions!$A$1:$J$42</definedName>
    <definedName function="false" hidden="true" localSheetId="5" name="_xlnm._FilterDatabase" vbProcedure="false">'L1 Theories'!$A$1:$E$201</definedName>
    <definedName function="false" hidden="true" localSheetId="6" name="_xlnm._FilterDatabase" vbProcedure="false">'L2 Outcomes'!$A$1:$H$201</definedName>
    <definedName function="false" hidden="true" localSheetId="7" name="_xlnm._FilterDatabase" vbProcedure="false">'L3 Distance'!$A$1:$H$201</definedName>
    <definedName function="false" hidden="true" localSheetId="8" name="_xlnm._FilterDatabase" vbProcedure="false">'L4 Moderators'!$A$1:$J$201</definedName>
    <definedName function="false" hidden="true" localSheetId="9" name="_xlnm._FilterDatabase" vbProcedure="false">'L5 Controls'!$A$1:$G$201</definedName>
    <definedName function="false" hidden="true" localSheetId="10" name="_xlnm._FilterDatabase" vbProcedure="false">'L6 Fixed effects'!$A$1:$D$201</definedName>
    <definedName function="false" hidden="true" localSheetId="11" name="_xlnm._FilterDatabase" vbProcedure="false">'L7 Robustness'!$A$1:$F$201</definedName>
    <definedName function="false" hidden="true" localSheetId="12" name="_xlnm._FilterDatabase" vbProcedure="false">'L8 Data'!$A$1:$F$201</definedName>
    <definedName function="false" hidden="true" localSheetId="13" name="_xlnm._FilterDatabase" vbProcedure="false">'L9 Limitations'!$A$1:$F$201</definedName>
    <definedName function="false" hidden="true" localSheetId="4" name="_xlnm._FilterDatabase" vbProcedure="false">Notes!$A$1:$I$201</definedName>
    <definedName function="false" hidden="true" localSheetId="2" name="_xlnm._FilterDatabase" vbProcedure="false">'Parked and dropped'!$A$4:$D$29</definedName>
    <definedName function="false" hidden="true" localSheetId="1" name="_xlnm._FilterDatabase" vbProcedure="false">'Reading list'!$A$5:$M$133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<sst xmlns="http://schemas.openxmlformats.org/spreadsheetml/2006/main" count="1676" uniqueCount="812">
  <si>
    <t xml:space="preserve">Thesis literature workbook</t>
  </si>
  <si>
    <t xml:space="preserve">Mark Sarman | Final research proposal | due Sunday 11 Oct 2026, 23:59</t>
  </si>
  <si>
    <t xml:space="preserve">THE WORKFLOW</t>
  </si>
  <si>
    <t xml:space="preserve">Per paper</t>
  </si>
  <si>
    <t xml:space="preserve">SAVE in Zotero  -&gt;  ASK Claude with the right prompt  -&gt;  CHECK against the PDF  -&gt;  NOTE the checked rows here.</t>
  </si>
  <si>
    <t xml:space="preserve">Reading level</t>
  </si>
  <si>
    <t xml:space="preserve">Deep (about 25 papers, chosen to find your moderators): Master prompt. Output goes to Notes AND the list tabs L1-L9.
Targeted (about 30): Section prompt. Output goes to Notes.
Cite only (rest): Claim-check prompt. Output goes to Notes.</t>
  </si>
  <si>
    <t xml:space="preserve">Writing Section 2</t>
  </si>
  <si>
    <t xml:space="preserve">Filter the Notes tab on Theme. Once you have chosen your literature review sections, map themes to sections and combine the rows into one paragraph per idea (concept-centric). Cite with the Zotero Word plugin.</t>
  </si>
  <si>
    <t xml:space="preserve">Writing Section 3</t>
  </si>
  <si>
    <t xml:space="preserve">Use the list tabs (L1-L9) and the Counts tab to see what prior studies did, then record your choice in Decisions. Each Decisions row becomes 1-2 sentences: 'Following X and Y, we ...'.</t>
  </si>
  <si>
    <t xml:space="preserve">TABS</t>
  </si>
  <si>
    <t xml:space="preserve">Reading list</t>
  </si>
  <si>
    <t xml:space="preserve">Every paper in reading order (Rank), with day, priority, level, prompt and the fill-in text for the prompt. Update Status as you go.</t>
  </si>
  <si>
    <t xml:space="preserve">Parked and dropped</t>
  </si>
  <si>
    <t xml:space="preserve">Folder papers outside the reading order, with the reason. Nothing is deleted.</t>
  </si>
  <si>
    <t xml:space="preserve">Prompts</t>
  </si>
  <si>
    <t xml:space="preserve">The three reading prompts plus a triage prompt for new papers (paste the abstract).</t>
  </si>
  <si>
    <t xml:space="preserve">Notes</t>
  </si>
  <si>
    <t xml:space="preserve">Everything you will cite, one point per row, labelled by theme (sections are decided later).</t>
  </si>
  <si>
    <t xml:space="preserve">L1-L9</t>
  </si>
  <si>
    <t xml:space="preserve">Complete inventories from the Deep papers only (theories, outcomes, distance, moderators, controls, fixed effects, robustness, data, limitations).</t>
  </si>
  <si>
    <t xml:space="preserve">Counts</t>
  </si>
  <si>
    <t xml:space="preserve">Automatic counts from L4 and L5: how often each control and each moderator appears (tested vs only suggested). Add any control or moderator you find in the empty yellow cells.</t>
  </si>
  <si>
    <t xml:space="preserve">Decisions</t>
  </si>
  <si>
    <t xml:space="preserve">All design choices. Column E holds current CANDIDATES from our discussions, not decisions. Read first, then write your own final choice in column J and set Status to Decided.</t>
  </si>
  <si>
    <t xml:space="preserve">LEGEND</t>
  </si>
  <si>
    <t xml:space="preserve">Yellow cells</t>
  </si>
  <si>
    <t xml:space="preserve">Columns you fill in.</t>
  </si>
  <si>
    <t xml:space="preserve">Grey italic rows</t>
  </si>
  <si>
    <t xml:space="preserve">Examples showing the format. Check or delete them; do not cite them unchecked.</t>
  </si>
  <si>
    <t xml:space="preserve">RULES</t>
  </si>
  <si>
    <t xml:space="preserve">1</t>
  </si>
  <si>
    <t xml:space="preserve">Only rows with Checked = Yes go into the proposal. Always check numbers, definitions, measures, quotes and page numbers against the PDF.</t>
  </si>
  <si>
    <t xml:space="preserve">2</t>
  </si>
  <si>
    <t xml:space="preserve">Every design choice gets a Decisions row with a source. If there is no source, it is either your contribution (say so) or a risk.</t>
  </si>
  <si>
    <t xml:space="preserve">3</t>
  </si>
  <si>
    <t xml:space="preserve">No new papers after Friday.</t>
  </si>
  <si>
    <t xml:space="preserve">4</t>
  </si>
  <si>
    <t xml:space="preserve">Save a dated copy of the proposal every evening.</t>
  </si>
  <si>
    <t xml:space="preserve">WEEK PLAN</t>
  </si>
  <si>
    <t xml:space="preserve">Tue 6 Oct</t>
  </si>
  <si>
    <t xml:space="preserve">Ranks 1-6: gap and closest work (Li 2014, Bertoni &amp; Groh, Moore first: they are in your folder). Download the rest of the Must papers.</t>
  </si>
  <si>
    <t xml:space="preserve">Wed 7 Oct</t>
  </si>
  <si>
    <t xml:space="preserve">Ranks 7-15: reviews with research agendas, then the first papers that test moderators. LSEG data check.</t>
  </si>
  <si>
    <t xml:space="preserve">Thu 8 Oct</t>
  </si>
  <si>
    <t xml:space="preserve">Ranks 16-33: rest of the moderator papers and the moderator theory papers. Evening: look at the Counts tab and choose your moderators in Decisions (column J).</t>
  </si>
  <si>
    <t xml:space="preserve">Fri 9 Oct</t>
  </si>
  <si>
    <t xml:space="preserve">Ranks 34-57: Targeted papers (outcome, theory, Europe, mechanisms, method). Write Sections 2 and 3.</t>
  </si>
  <si>
    <t xml:space="preserve">Sat 10 Oct</t>
  </si>
  <si>
    <t xml:space="preserve">Ranks 58+: claim checks while you write introduction, relevance and limitations.</t>
  </si>
  <si>
    <t xml:space="preserve">Sun 11 Oct</t>
  </si>
  <si>
    <t xml:space="preserve">Reference check, full read-through, submit by 18:00.</t>
  </si>
  <si>
    <t xml:space="preserve">Reading list (ranked: read top to bottom)</t>
  </si>
  <si>
    <t xml:space="preserve">Progress</t>
  </si>
  <si>
    <t xml:space="preserve">Total papers</t>
  </si>
  <si>
    <t xml:space="preserve">Checked or done</t>
  </si>
  <si>
    <t xml:space="preserve">Still to find</t>
  </si>
  <si>
    <t xml:space="preserve">Must left</t>
  </si>
  <si>
    <t xml:space="preserve">Provisional ranking. Read in Rank order; 'If time' rows can be skipped. Column J is the text for the [brackets] of the prompt (full ready-made prompts per paper: 'Reading prompts (ranked).md' in this folder). New papers: use the Triage prompt, then add them in the empty rows.</t>
  </si>
  <si>
    <t xml:space="preserve">Rank</t>
  </si>
  <si>
    <t xml:space="preserve">Day</t>
  </si>
  <si>
    <t xml:space="preserve">Priority</t>
  </si>
  <si>
    <t xml:space="preserve">Reference</t>
  </si>
  <si>
    <t xml:space="preserve">Folder code</t>
  </si>
  <si>
    <t xml:space="preserve">File / where</t>
  </si>
  <si>
    <t xml:space="preserve">Prompt to use</t>
  </si>
  <si>
    <t xml:space="preserve">Theme(s)</t>
  </si>
  <si>
    <t xml:space="preserve">Fill-in for the [brackets] (copy-paste)</t>
  </si>
  <si>
    <t xml:space="preserve">Why here</t>
  </si>
  <si>
    <t xml:space="preserve">Status</t>
  </si>
  <si>
    <t xml:space="preserve">Must</t>
  </si>
  <si>
    <t xml:space="preserve">Li, Vertinsky &amp; Li (2014). National distances, international experience, and venture capital investment performance. Journal of Business Venturing, 29, 471-489.</t>
  </si>
  <si>
    <t xml:space="preserve">2r</t>
  </si>
  <si>
    <t xml:space="preserve">2r ...pdf</t>
  </si>
  <si>
    <t xml:space="preserve">Deep</t>
  </si>
  <si>
    <t xml:space="preserve">Distance; Moderators; Method</t>
  </si>
  <si>
    <t xml:space="preserve">how each distance (institutional, cultural, geographic) is measured, how international experience moderates distance, how exit success is coded, and the result for VC industry specialization in Table 2.</t>
  </si>
  <si>
    <t xml:space="preserve">A. Gap and closest work: closest model paper (distance -&gt; exit success, moderators tested)</t>
  </si>
  <si>
    <t xml:space="preserve">In folder</t>
  </si>
  <si>
    <t xml:space="preserve">Bertoni, F., &amp; Groh, A. P. (2014). Cross-border investments and venture capital exits in Europe. Corporate Governance: An International Review, 22(2), 84-99.</t>
  </si>
  <si>
    <t xml:space="preserve">3e</t>
  </si>
  <si>
    <t xml:space="preserve">3e ...pdf</t>
  </si>
  <si>
    <t xml:space="preserve">Europe and gap; Method</t>
  </si>
  <si>
    <t xml:space="preserve">which European countries and years are covered, how cross-border is defined (investor HQ or office), whether distance is measured or only foreign vs domestic, and what the authors say is still unknown for Europe.</t>
  </si>
  <si>
    <t xml:space="preserve">A. Gap and closest work: cross-border performance in Europe, decides how narrow your gap sentence must be</t>
  </si>
  <si>
    <t xml:space="preserve">Moore, C. B., Payne, G. T., Bell, R. G., &amp; Davis, J. L. (2015). Institutional distance and cross-border venture capital investment flows. Journal of Small Business Management, 53(2), 482-500.</t>
  </si>
  <si>
    <t xml:space="preserve">4e</t>
  </si>
  <si>
    <t xml:space="preserve">4e ...pdf</t>
  </si>
  <si>
    <t xml:space="preserve">Europe and gap; Distance</t>
  </si>
  <si>
    <t xml:space="preserve">this paper studies flows, not performance: note which institutional dimensions matter, how institutional distance is measured, and whether European countries are in the sample.</t>
  </si>
  <si>
    <t xml:space="preserve">A. Gap and closest work: shows distance studied for flows, not performance</t>
  </si>
  <si>
    <t xml:space="preserve">Bottazzi, L., Da Rin, M., &amp; Hellmann, T. (2016). The importance of trust for investment: Evidence from venture capital. Review of Financial Studies, 29(9), 2283-2318.</t>
  </si>
  <si>
    <t xml:space="preserve">new</t>
  </si>
  <si>
    <t xml:space="preserve">To find</t>
  </si>
  <si>
    <t xml:space="preserve">Europe and gap; Moderators; Analysis and robustness</t>
  </si>
  <si>
    <t xml:space="preserve">how trust between nations is measured (Eurobarometer), whether trust works through selection or performance, why more trust goes with fewer successful exits, and whether other distance measures are included.</t>
  </si>
  <si>
    <t xml:space="preserve">A. Gap and closest work: European deals + a country pair feature; biggest overlap risk</t>
  </si>
  <si>
    <t xml:space="preserve">Compano, R., Johanyak, J., Testa, G., Zhen, Q., &amp; Tuebke, A. (2026). Cross-regional venture capital flows in Europe: The role of entrepreneurial ecosystems and proximity. JRC Working Papers on Corporate R&amp;D and Innovation, 1/2026.</t>
  </si>
  <si>
    <t xml:space="preserve">Europe and gap; Moderators</t>
  </si>
  <si>
    <t xml:space="preserve">the unit of analysis (region pairs), which proximity types are measured, which ecosystem features moderate distance, and whether any performance outcome is studied.</t>
  </si>
  <si>
    <t xml:space="preserve">A. Gap and closest work: most recent European distance study (flows)</t>
  </si>
  <si>
    <t xml:space="preserve">Alhorr, H. S., Moore, C. B., &amp; Payne, G. T. (2008). The impact of economic integration on cross-border venture capital investments: Evidence from the European Union. Entrepreneurship Theory and Practice, 32(5), 897-917.</t>
  </si>
  <si>
    <t xml:space="preserve">how EU economic integration is measured, whether integration weakens the effect of distance, and the time period and countries.</t>
  </si>
  <si>
    <t xml:space="preserve">A. Gap and closest work: EU integration as a pair-level factor</t>
  </si>
  <si>
    <t xml:space="preserve">Devigne, D., Manigart, S., Vanacker, T., &amp; Mulier, K. (2018). Venture capital internationalization: Synthesis and future research directions. Journal of Economic Surveys, 32(5), 1414-1445.</t>
  </si>
  <si>
    <t xml:space="preserve">0a</t>
  </si>
  <si>
    <t xml:space="preserve">0a ...pdf</t>
  </si>
  <si>
    <t xml:space="preserve">Liability of foreignness; Moderators; Europe and gap</t>
  </si>
  <si>
    <t xml:space="preserve">the future research agenda: every open question on what weakens or strengthens the liability of foreignness or distance in VC, and on European cross-border VC.</t>
  </si>
  <si>
    <t xml:space="preserve">B. Moderator discovery: reviews</t>
  </si>
  <si>
    <t xml:space="preserve">Boryniec, P., Li, Y., &amp; Tan, J. (2025). A survey of cross-border venture capital research. Venture Capital, 27(2), 109-170.</t>
  </si>
  <si>
    <t xml:space="preserve">0b</t>
  </si>
  <si>
    <t xml:space="preserve">0b ...pdf</t>
  </si>
  <si>
    <t xml:space="preserve">Moderators; Liability of foreignness</t>
  </si>
  <si>
    <t xml:space="preserve">the research agenda and any table that lists moderators or contingencies of cross-border VC performance.</t>
  </si>
  <si>
    <t xml:space="preserve">Hutzschenreuter, T., Kleindienst, I., &amp; Lange, S. (2016). The concept of distance in international business research: A review and research agenda. International Journal of Management Reviews, 18(2), 160-179.</t>
  </si>
  <si>
    <t xml:space="preserve">Distance; Moderators</t>
  </si>
  <si>
    <t xml:space="preserve">their classification of distance dimensions and which moderators of distance effects they call underexplored.</t>
  </si>
  <si>
    <t xml:space="preserve">Beugelsdijk, S., Kostova, T., Kunst, V. E., Spadafora, E., &amp; van Essen, M. (2018). Cultural distance and firm internationalization: A meta-analytical review and theoretical implications. Journal of Management, 44(1), 89-130.</t>
  </si>
  <si>
    <t xml:space="preserve">which moderators of the cultural distance effect the meta-analysis tests (e.g. experience, entry mode, host country development) and their direction.</t>
  </si>
  <si>
    <t xml:space="preserve">Zhou, C., Kwon, Y., Zhang, Y., Li, J., Kim, J., &amp; Heo, Y. (2021). The role of national distance in international business: A review from 1980 to 2017. Review of International Business and Strategy, 31(2), 153-176.</t>
  </si>
  <si>
    <t xml:space="preserve">0d</t>
  </si>
  <si>
    <t xml:space="preserve">0d ...pdf</t>
  </si>
  <si>
    <t xml:space="preserve">which moderators of national distance appear across the reviewed studies and which ones the authors call understudied.</t>
  </si>
  <si>
    <t xml:space="preserve">Tihanyi, L., Griffith, D. A., &amp; Russell, C. J. (2005). The effect of cultural distance on entry mode choice, international diversification, and MNE performance: A meta-analysis. Journal of International Business Studies, 36(3), 270-283.</t>
  </si>
  <si>
    <t xml:space="preserve">whether cultural distance relates to performance and which moderators (home country, industry, sample) change that relationship.</t>
  </si>
  <si>
    <t xml:space="preserve">Tykvova, T., &amp; Schertler, A. (2014). Does syndication with local venture capitalists moderate the effects of geographical and institutional distance? Journal of International Management, 20, 406-420.</t>
  </si>
  <si>
    <t xml:space="preserve">4c</t>
  </si>
  <si>
    <t xml:space="preserve">4c ...pdf</t>
  </si>
  <si>
    <t xml:space="preserve">Moderators; Distance; Method</t>
  </si>
  <si>
    <t xml:space="preserve">how local syndication partners moderate geographic and institutional distance, which outcome is used, and whether European deals are in the sample.</t>
  </si>
  <si>
    <t xml:space="preserve">C. Moderator discovery: tests moderators</t>
  </si>
  <si>
    <t xml:space="preserve">Liu, Y., &amp; Maula, M. (2021). Contextual status effects: The performance effects of host-country network status and regulatory institutions in cross-border venture capital. Research Policy, 50, 104216.</t>
  </si>
  <si>
    <t xml:space="preserve">2i</t>
  </si>
  <si>
    <t xml:space="preserve">2i ...pdf</t>
  </si>
  <si>
    <t xml:space="preserve">Moderators; Method</t>
  </si>
  <si>
    <t xml:space="preserve">how host-country regulatory institutions moderate the effect of network status on performance, and how performance is coded.</t>
  </si>
  <si>
    <t xml:space="preserve">Alvarez-Garrido, E., &amp; Guler, I. (2018). Status in a strange land? Context-dependent value of status in cross-border venture capital. Strategic Management Journal, 39(7), 1887-1911.</t>
  </si>
  <si>
    <t xml:space="preserve">6a</t>
  </si>
  <si>
    <t xml:space="preserve">6a ...pdf</t>
  </si>
  <si>
    <t xml:space="preserve">which country-pair or host-country features moderate the value of status, and how selection is handled.</t>
  </si>
  <si>
    <t xml:space="preserve">C. Moderator discovery: tests moderators (only paper in folder with a pair feature as moderator)</t>
  </si>
  <si>
    <t xml:space="preserve">Nahata, R., Hazarika, S., &amp; Tandon, K. (2014). Success in global venture capital investing: Do institutional and cultural differences matter? Journal of Financial and Quantitative Analysis, 49(4), 1039-1070.</t>
  </si>
  <si>
    <t xml:space="preserve">which institutional and cultural measures predict success, and whether any factor (experience, local partner, legal origin) moderates them.</t>
  </si>
  <si>
    <t xml:space="preserve">Dai, N., &amp; Nahata, R. (2016). Cultural differences and cross-border venture capital syndication. Journal of International Business Studies, 47, 140-169.</t>
  </si>
  <si>
    <t xml:space="preserve">4a</t>
  </si>
  <si>
    <t xml:space="preserve">4a ...pdf</t>
  </si>
  <si>
    <t xml:space="preserve">how cultural distance shapes syndication with local VCs, how this relates to exits, and how cultural distance is computed.</t>
  </si>
  <si>
    <t xml:space="preserve">Chemmanur, T. J., Hull, T. J., &amp; Krishnan, K. (2016). Do local and international venture capitalists play well together? The complementarity of local and international venture capitalists. Journal of Business Venturing, 31, 573-594.</t>
  </si>
  <si>
    <t xml:space="preserve">1i</t>
  </si>
  <si>
    <t xml:space="preserve">1i ...pdf</t>
  </si>
  <si>
    <t xml:space="preserve">Moderators; Measures</t>
  </si>
  <si>
    <t xml:space="preserve">whether local co-investors complement international VCs, which outcome is used, and how international vs local VC is defined.</t>
  </si>
  <si>
    <t xml:space="preserve">Devigne, D., Manigart, S., &amp; Wright, M. (2016). Escalation of commitment in venture capital decision making: Differentiating between domestic and international investors. Journal of Business Venturing, 31(3), 253-271.</t>
  </si>
  <si>
    <t xml:space="preserve">NS</t>
  </si>
  <si>
    <t xml:space="preserve">Folder &gt; Not Screened Yet: 1-s2.0-S0883902616000033-main.pdf</t>
  </si>
  <si>
    <t xml:space="preserve">Outcome / performance; Measures</t>
  </si>
  <si>
    <t xml:space="preserve">how follow-on investment decisions are defined and coded (my main outcome), and how domestic and international investors differ in them.</t>
  </si>
  <si>
    <t xml:space="preserve">Design reference for the main outcome</t>
  </si>
  <si>
    <t xml:space="preserve">Mingo, S., Morales, F., &amp; Dau, L. A. (2018). The interplay of national distances and regional networks: Private equity investments in emerging markets. Journal of International Business Studies, 49, 371-386.</t>
  </si>
  <si>
    <t xml:space="preserve">4f</t>
  </si>
  <si>
    <t xml:space="preserve">4f ...pdf</t>
  </si>
  <si>
    <t xml:space="preserve">how regional networks moderate national distances, and how distances are measured (Mahalanobis on WGI).</t>
  </si>
  <si>
    <t xml:space="preserve">Huang, X., Qiu, B., Wu, J., &amp; Yao, X. (2023). Institutional distance, geographic distance, and Chinese venture capital investment: Do networks and trust matter? Small Business Economics, 61, 1795-1844.</t>
  </si>
  <si>
    <t xml:space="preserve">4b</t>
  </si>
  <si>
    <t xml:space="preserve">4b ...pdf</t>
  </si>
  <si>
    <t xml:space="preserve">Moderators</t>
  </si>
  <si>
    <t xml:space="preserve">how networks and trust moderate institutional and geographic distance, and whether this logic could transfer to country pairs within Europe.</t>
  </si>
  <si>
    <t xml:space="preserve">Northemann, A. (2023). Industry-specific specialization in venture capitalists' internationalization decisions. Journal of Business Economics, 93, 891-927.</t>
  </si>
  <si>
    <t xml:space="preserve">1c</t>
  </si>
  <si>
    <t xml:space="preserve">1c ...pdf</t>
  </si>
  <si>
    <t xml:space="preserve">Moderators; Investor-level factors</t>
  </si>
  <si>
    <t xml:space="preserve">how industry specialization is measured and whether it changes the effect of distance on the internationalization decision.</t>
  </si>
  <si>
    <t xml:space="preserve">If time</t>
  </si>
  <si>
    <t xml:space="preserve">Zhang, J., &amp; Pezeshkan, A. (2016). Host country network, industry experience, and international alliance formation: Evidence from the venture capital industry. Journal of World Business, 51, 264-277.</t>
  </si>
  <si>
    <t xml:space="preserve">5b</t>
  </si>
  <si>
    <t xml:space="preserve">5b ...pdf</t>
  </si>
  <si>
    <t xml:space="preserve">how host country network and industry experience interact, and whether either moderates a distance effect.</t>
  </si>
  <si>
    <t xml:space="preserve">Wesemann, H., &amp; Antretter, T. (2023). The internationalization of business angel networks: Do syndicates increase cross-border investment returns? Venture Capital, 25(4), 487-514.</t>
  </si>
  <si>
    <t xml:space="preserve">2f</t>
  </si>
  <si>
    <t xml:space="preserve">2f ...pdf</t>
  </si>
  <si>
    <t xml:space="preserve">how syndication moderates the effect of distance on returns, and how distance is measured.</t>
  </si>
  <si>
    <t xml:space="preserve">Qiu, B., Chen, J., &amp; Yang, J. (2021). Going abroad, friends on board: Cross-border venture capital and syndication strategy in China. SAGE Open. [check volume/issue]</t>
  </si>
  <si>
    <t xml:space="preserve">1a</t>
  </si>
  <si>
    <t xml:space="preserve">1a ...pdf</t>
  </si>
  <si>
    <t xml:space="preserve">how reputation moderates the liability of foreignness in syndication choices.</t>
  </si>
  <si>
    <t xml:space="preserve">Stahl, G. K., Tung, R. L., Kostova, T., &amp; Zellmer-Bruhn, M. (2016). Widening the lens: Rethinking distance, diversity, and foreignness in international business research through positive organizational scholarship. Journal of International Business Studies, 47(6), 621-630. [check pages]</t>
  </si>
  <si>
    <t xml:space="preserve">which alternative views of distance (positive effects, diversity, foreignness) and which moderators the authors propose.</t>
  </si>
  <si>
    <t xml:space="preserve">Zaheer, S., Schomaker, M. S., &amp; Nachum, L. (2012). Distance without direction: Restoring credibility to a much-loved construct. Journal of International Business Studies, 43(1), 18-27. [check pages]</t>
  </si>
  <si>
    <t xml:space="preserve">Distance; Measures</t>
  </si>
  <si>
    <t xml:space="preserve">the critique of symmetric distance and what it implies for measuring distance between country pairs (direction, asymmetry).</t>
  </si>
  <si>
    <t xml:space="preserve">Guiso, L., Sapienza, P., &amp; Zingales, L. (2009). Cultural biases in economic exchange? Quarterly Journal of Economics, 124(3), 1095-1131.</t>
  </si>
  <si>
    <t xml:space="preserve">Targeted</t>
  </si>
  <si>
    <t xml:space="preserve">how bilateral trust between European countries is measured, how it affects trade and investment, and the role of common language and shared history.</t>
  </si>
  <si>
    <t xml:space="preserve">D. Moderator theory (pair features)</t>
  </si>
  <si>
    <t xml:space="preserve">Grinblatt, M., &amp; Keloharju, M. (2001). How distance, language, and culture influence stockholdings and trades. Journal of Finance, 56(3), 1053-1073.</t>
  </si>
  <si>
    <t xml:space="preserve">how shared language and culture affect investment choices, and the information mechanism behind it.</t>
  </si>
  <si>
    <t xml:space="preserve">Portes, R., &amp; Rey, H. (2005). The determinants of cross-border equity flows. Journal of International Economics, 65(2), 269-296.</t>
  </si>
  <si>
    <t xml:space="preserve">how bilateral trade and information frictions explain cross-border equity flows.</t>
  </si>
  <si>
    <t xml:space="preserve">Hegde, D., &amp; Tumlinson, J. (2014). Does social proximity enhance business partnerships? Theory and evidence from ethnicity's role in U.S. venture capital. Management Science, 60(9), 2355-2380.</t>
  </si>
  <si>
    <t xml:space="preserve">how social proximity affects both which startups VCs select and how those startups perform (selection vs performance).</t>
  </si>
  <si>
    <t xml:space="preserve">Should</t>
  </si>
  <si>
    <t xml:space="preserve">Dow, D., &amp; Karunaratna, A. (2006). Developing a multidimensional instrument to measure psychic distance stimuli. Journal of International Business Studies, 37(5), 578-602.</t>
  </si>
  <si>
    <t xml:space="preserve">which psychic distance stimuli (language, religion, colonial ties, industrial development) are measured and how.</t>
  </si>
  <si>
    <t xml:space="preserve">[Authors to check] (2024). The role of culture as an informal institution in cross-border venture capital investments. Journal of Institutional Economics, 20.</t>
  </si>
  <si>
    <t xml:space="preserve">Moderators; Europe and gap</t>
  </si>
  <si>
    <t xml:space="preserve">what it finds on culture as an informal institution in cross-border VC, which moderators it tests, and whether it overlaps with my study (novelty check).</t>
  </si>
  <si>
    <t xml:space="preserve">D. Novelty check</t>
  </si>
  <si>
    <t xml:space="preserve">Tian, X. (2011). The causes and consequences of venture capital stage financing. Journal of Financial Economics, 101(1), 132-159.</t>
  </si>
  <si>
    <t xml:space="preserve">Outcome / performance; Distance</t>
  </si>
  <si>
    <t xml:space="preserve">how distance between VC and startup affects staging and follow-on rounds, and how follow-on rounds are counted.</t>
  </si>
  <si>
    <t xml:space="preserve">E. Outcome (follow-on funding)</t>
  </si>
  <si>
    <t xml:space="preserve">Gompers, P. A. (1995). Optimal investment, monitoring, and the staging of venture capital. Journal of Finance, 50(5), 1461-1489.</t>
  </si>
  <si>
    <t xml:space="preserve">Outcome / performance; Sample and data</t>
  </si>
  <si>
    <t xml:space="preserve">why staged financing and follow-on rounds signal progress, and how a financing round is defined.</t>
  </si>
  <si>
    <t xml:space="preserve">Hochberg, Y. V., Ljungqvist, A., &amp; Lu, Y. (2007). Whom you know matters: Venture capital networks and investment performance. Journal of Finance, 62(1), 251-301.</t>
  </si>
  <si>
    <t xml:space="preserve">how they define investment success (survival to a later round or exit) and how VC network position is measured.</t>
  </si>
  <si>
    <t xml:space="preserve">Alexy, O. T., Block, J. H., Sandner, P., &amp; Ter Wal, A. L. J. (2012). Social capital of venture capitalists and start-up funding. Small Business Economics, 39(4), 835-851.</t>
  </si>
  <si>
    <t xml:space="preserve">Outcome / performance</t>
  </si>
  <si>
    <t xml:space="preserve">how subsequent funding is used as a performance outcome for early-stage startups.</t>
  </si>
  <si>
    <t xml:space="preserve">Zaheer, S. (1995). Overcoming the liability of foreignness. Academy of Management Journal, 38(2), 341-363.</t>
  </si>
  <si>
    <t xml:space="preserve">1 ...pdf</t>
  </si>
  <si>
    <t xml:space="preserve">Liability of foreignness</t>
  </si>
  <si>
    <t xml:space="preserve">the definition and sources of the liability of foreignness, and how foreign firms overcome it.</t>
  </si>
  <si>
    <t xml:space="preserve">F. Theory: foreignness and distance</t>
  </si>
  <si>
    <t xml:space="preserve">Kostova, T. (1999). Transnational transfer of strategic organizational practices: A contextual perspective. Academy of Management Review, 24(2), 308-324.</t>
  </si>
  <si>
    <t xml:space="preserve">Folder &gt; Not Screened Yet: Transnational_transfer_of_stra.pdf</t>
  </si>
  <si>
    <t xml:space="preserve">Distance (types, mechanisms)</t>
  </si>
  <si>
    <t xml:space="preserve">the definition of institutional distance and its regulatory, cognitive and normative pillars.</t>
  </si>
  <si>
    <t xml:space="preserve">Xu, D., &amp; Shenkar, O. (2002). Institutional distance and the multinational enterprise. Academy of Management Review, 27(4), 608-618.</t>
  </si>
  <si>
    <t xml:space="preserve">how institutional distance affects foreign firms and which institutional pillars matter most.</t>
  </si>
  <si>
    <t xml:space="preserve">Beugelsdijk, S., Ambos, B., &amp; Nell, P. C. (2018). Conceptualizing and measuring distance in international business research: Recurring questions and best practice guidelines. Journal of International Business Studies, 49, 1113-1137.</t>
  </si>
  <si>
    <t xml:space="preserve">0c</t>
  </si>
  <si>
    <t xml:space="preserve">0c ...pdf</t>
  </si>
  <si>
    <t xml:space="preserve">Distance (types, mechanisms); Measures</t>
  </si>
  <si>
    <t xml:space="preserve">best practice for measuring distance: which indicators and formulas to use, and which pitfalls to avoid.</t>
  </si>
  <si>
    <t xml:space="preserve">Berry, H., Guillen, M. F., &amp; Zhou, N. (2010). An institutional approach to cross-national distance. Journal of International Business Studies, 41(9), 1460-1480.</t>
  </si>
  <si>
    <t xml:space="preserve">Measures</t>
  </si>
  <si>
    <t xml:space="preserve">the dimensions of cross-national distance, their data sources, and why the Mahalanobis method is used.</t>
  </si>
  <si>
    <t xml:space="preserve">Kogut, B., &amp; Singh, H. (1988). The effect of national culture on the choice of entry mode. Journal of International Business Studies, 19(3), 411-432.</t>
  </si>
  <si>
    <t xml:space="preserve">Folder &gt; Not Screened Yet: palgrave.jibs.8490394.pdf</t>
  </si>
  <si>
    <t xml:space="preserve">the Kogut-Singh cultural distance index: formula, data and rationale.</t>
  </si>
  <si>
    <t xml:space="preserve">Buchner, A., Espenlaub, S., Khurshed, A., &amp; Mohamed, A. (2018). Cross-border venture capital investments: The impact of foreignness on returns. Journal of International Business Studies, 49, 575-604.</t>
  </si>
  <si>
    <t xml:space="preserve">2e</t>
  </si>
  <si>
    <t xml:space="preserve">2e ...pdf</t>
  </si>
  <si>
    <t xml:space="preserve">Introduction / relevance; Liability of foreignness</t>
  </si>
  <si>
    <t xml:space="preserve">how returns of cross-border and domestic VC investments differ, and the foreignness mechanism behind it.</t>
  </si>
  <si>
    <t xml:space="preserve">G. Europe and introduction</t>
  </si>
  <si>
    <t xml:space="preserve">Liu, Qiu, Bu, Xie &amp; Han (2026). The impact of multinational venture capital on the startups' performance: Insights from Europe. IEEE Transactions on Engineering Management, 73. [check initials and pages]</t>
  </si>
  <si>
    <t xml:space="preserve">2q</t>
  </si>
  <si>
    <t xml:space="preserve">2q ...pdf</t>
  </si>
  <si>
    <t xml:space="preserve">Introduction / relevance; Europe and gap</t>
  </si>
  <si>
    <t xml:space="preserve">what multinational VC does to startup performance in Europe, which outcome and data they use, and whether distance is measured (overlap check).</t>
  </si>
  <si>
    <t xml:space="preserve">Bosio, Buttice, Crisanti, Croce &amp; Signore (2025). How Brexit reshaped venture capital's market: An analysis of UK and EU investments. Research Policy, 54, 105289. [check initials]</t>
  </si>
  <si>
    <t xml:space="preserve">3b</t>
  </si>
  <si>
    <t xml:space="preserve">3b ...pdf</t>
  </si>
  <si>
    <t xml:space="preserve">Europe and gap; Introduction / relevance</t>
  </si>
  <si>
    <t xml:space="preserve">how Brexit changed cross-border VC between the UK and the EU, as evidence that institutional change within Europe affects VC.</t>
  </si>
  <si>
    <t xml:space="preserve">Gompers, P., Kovner, A., &amp; Lerner, J. (2009). Specialization and success: Evidence from venture capital. Journal of Economics &amp; Management Strategy, 18(3), 817-844.</t>
  </si>
  <si>
    <t xml:space="preserve">Folder &gt; Not Screened Yet: Economics Manag Strategy - 2009 - Gompers ...pdf</t>
  </si>
  <si>
    <t xml:space="preserve">Investor-level factors; Measures</t>
  </si>
  <si>
    <t xml:space="preserve">how industry specialization is measured and how it relates to investment success.</t>
  </si>
  <si>
    <t xml:space="preserve">H. Mechanisms and investor level</t>
  </si>
  <si>
    <t xml:space="preserve">Kogut, B., &amp; Zander, U. (1992). Knowledge of the firm, combinative capabilities, and the replication of technology. Organization Science, 3(3), 383-397.</t>
  </si>
  <si>
    <t xml:space="preserve">Folder &gt; Not Screened Yet: Kogut-KnowledgeFirmCombinative-1992.pdf</t>
  </si>
  <si>
    <t xml:space="preserve">Investor-level factors; Distance (types, mechanisms)</t>
  </si>
  <si>
    <t xml:space="preserve">the difference between tacit and codified knowledge, and why tacit knowledge transfers poorly across distance.</t>
  </si>
  <si>
    <t xml:space="preserve">Grant, R. M. (1996). Toward a knowledge-based theory of the firm. Strategic Management Journal, 17(S2), 109-122.</t>
  </si>
  <si>
    <t xml:space="preserve">Folder &gt; Not Screened Yet: Strategic Management Journal - Winter 1996 - Grant ...pdf</t>
  </si>
  <si>
    <t xml:space="preserve">Investor-level factors</t>
  </si>
  <si>
    <t xml:space="preserve">the core claims of the knowledge-based view and the role of tacit knowledge.</t>
  </si>
  <si>
    <t xml:space="preserve">Granovetter, M. (1985). Economic action and social structure: The problem of embeddedness. American Journal of Sociology, 91(3), 481-510.</t>
  </si>
  <si>
    <t xml:space="preserve">Folder &gt; Not Screened Yet: Granovetter-EconomicActionSocial-1985.pdf</t>
  </si>
  <si>
    <t xml:space="preserve">how embeddedness in social relations creates trust and shapes economic exchange.</t>
  </si>
  <si>
    <t xml:space="preserve">Sorenson, O., &amp; Stuart, T. E. (2001). Syndication networks and the spatial distribution of venture capital investments. American Journal of Sociology, 106(6), 1546-1588.</t>
  </si>
  <si>
    <t xml:space="preserve">Folder &gt; Not Screened Yet: 321301.link.pdf</t>
  </si>
  <si>
    <t xml:space="preserve">why VC investment is local (information and monitoring costs of distance) and how syndication networks extend a VC's reach.</t>
  </si>
  <si>
    <t xml:space="preserve">Megginson, W. L., &amp; Weiss, K. A. (1991). Venture capitalist certification in initial public offerings. Journal of Finance, 46(3), 879-903.</t>
  </si>
  <si>
    <t xml:space="preserve">Folder &gt; Not Screened Yet: The Journal of Finance - July 1991 - MEGGINSON ...pdf</t>
  </si>
  <si>
    <t xml:space="preserve">the certification role of VC backing, as the mechanism behind attracting follow-on investors.</t>
  </si>
  <si>
    <t xml:space="preserve">Certo, S. T., Busenbark, J. R., Woo, H.-S., &amp; Semadeni, M. (2016). Sample selection bias and Heckman models in strategic management research. Strategic Management Journal, 37(13), 2639-2657.</t>
  </si>
  <si>
    <t xml:space="preserve">Analysis and robustness</t>
  </si>
  <si>
    <t xml:space="preserve">when a Heckman selection model is needed and what a valid exclusion restriction looks like.</t>
  </si>
  <si>
    <t xml:space="preserve">I. Method</t>
  </si>
  <si>
    <t xml:space="preserve">Hoetker, G. (2007). The use of logit and probit models in strategic management research: Critical issues. Strategic Management Journal, 28(4), 331-343.</t>
  </si>
  <si>
    <t xml:space="preserve">how to interpret and test interaction effects in logit and probit models.</t>
  </si>
  <si>
    <t xml:space="preserve">Chen, H., Gompers, P., Kovner, A., &amp; Lerner, J. (2010). Buy local? The geography of venture capital. Journal of Urban Economics, 67(1), 90-102.</t>
  </si>
  <si>
    <t xml:space="preserve">Analysis and robustness; Measures</t>
  </si>
  <si>
    <t xml:space="preserve">how VC office locations differ from headquarters and why that matters when measuring investor location.</t>
  </si>
  <si>
    <t xml:space="preserve">Mayer, T., &amp; Zignago, S. (2011). Notes on CEPII's distances measures: The GeoDist database. CEPII Working Paper 2011-25.</t>
  </si>
  <si>
    <t xml:space="preserve">Sample and data; Measures</t>
  </si>
  <si>
    <t xml:space="preserve">which bilateral variables (geographic distance, contiguity, common language) GeoDist contains and how each is coded.</t>
  </si>
  <si>
    <t xml:space="preserve">University of Antwerp PhD thesis (2020). Essays on cross-border venture capital and venture internationalization. [find author]</t>
  </si>
  <si>
    <t xml:space="preserve">Europe and gap</t>
  </si>
  <si>
    <t xml:space="preserve">whether any essay studies the performance of cross-border VC within Europe and which moderators it tests (overlap check).</t>
  </si>
  <si>
    <t xml:space="preserve">Novelty check</t>
  </si>
  <si>
    <t xml:space="preserve">Kollmann, Mullner &amp; Puck (2025). The company you keep: Syndicate formation in venture capitalists' cross-border investments. International Business Review, 34, 102424. [check initials]</t>
  </si>
  <si>
    <t xml:space="preserve">1b</t>
  </si>
  <si>
    <t xml:space="preserve">1b ...pdf</t>
  </si>
  <si>
    <t xml:space="preserve">Cite only</t>
  </si>
  <si>
    <t xml:space="preserve">Introduction / relevance</t>
  </si>
  <si>
    <t xml:space="preserve">About 30% of VC investments involve a cross-border investor. [check the exact figure and year]</t>
  </si>
  <si>
    <t xml:space="preserve">J. Claim check while writing</t>
  </si>
  <si>
    <t xml:space="preserve">Zhou, N., &amp; Guillen, M. F. (2015). From home country to home base: A dynamic approach to the liability of foreignness. Strategic Management Journal, 36(6), 907-917.</t>
  </si>
  <si>
    <t xml:space="preserve">Folder &gt; Not Screened Yet: Strategic Management Journal - 2014 - Zhou ...pdf</t>
  </si>
  <si>
    <t xml:space="preserve">The liability of foreignness is not fixed: it declines as firms build experience in the host country.</t>
  </si>
  <si>
    <t xml:space="preserve">Ademi et al. (2026). Venture exits: A review and future research agenda. Journal of Management, 52(6), 2509-2550. [full author list]</t>
  </si>
  <si>
    <t xml:space="preserve">0e</t>
  </si>
  <si>
    <t xml:space="preserve">0e ...pdf</t>
  </si>
  <si>
    <t xml:space="preserve">Exits are the most common measure of venture performance, but they are rare and observed only with a long delay.</t>
  </si>
  <si>
    <t xml:space="preserve">Sahlman, W. A. (1990). The structure and governance of venture-capital organizations. Journal of Financial Economics, 27(2), 473-521.</t>
  </si>
  <si>
    <t xml:space="preserve">Folder &gt; Not Screened Yet: 1-s2.0-0304405X90900658-main.pdf</t>
  </si>
  <si>
    <t xml:space="preserve">VCs stage their capital and monitor portfolio companies closely to reduce agency problems.</t>
  </si>
  <si>
    <t xml:space="preserve">Gorman, M., &amp; Sahlman, W. A. (1989). What do venture capitalists do? Journal of Business Venturing, 4(4), 231-248.</t>
  </si>
  <si>
    <t xml:space="preserve">Folder &gt; Not Screened Yet: 1-s2.0-0883902689900141-main.pdf</t>
  </si>
  <si>
    <t xml:space="preserve">VCs spend a large share of their time monitoring and assisting portfolio companies, often through board seats.</t>
  </si>
  <si>
    <t xml:space="preserve">Bernstein, S., Giroud, X., &amp; Townsend, R. R. (2016). The impact of venture capital monitoring. Journal of Finance, 71(4), 1591-1622.</t>
  </si>
  <si>
    <t xml:space="preserve">Shorter travel time between VC and startup increases VC involvement and startup performance.</t>
  </si>
  <si>
    <t xml:space="preserve">Cumming, D., &amp; Dai, N. (2010). Local bias in venture capital investments. Journal of Empirical Finance, 17(3), 362-380.</t>
  </si>
  <si>
    <t xml:space="preserve">VCs show a strong local bias in where they invest.</t>
  </si>
  <si>
    <t xml:space="preserve">Ghemawat, P. (2001). Distance still matters: The hard reality of global expansion. Harvard Business Review, 79(8), 137-147.</t>
  </si>
  <si>
    <t xml:space="preserve">Distance between countries has cultural, administrative, geographic and economic dimensions.</t>
  </si>
  <si>
    <t xml:space="preserve">Slangen, A. H. L., &amp; Van Tulder, R. J. M. (2009). Cultural distance, political risk, or governance quality? Towards a more accurate conceptualization and measurement of external uncertainty in foreign entry mode research. International Business Review, 18(3), 276-291.</t>
  </si>
  <si>
    <t xml:space="preserve">Folder &gt; Not Screened Yet: 1-s2.0-S0969593109000171-main.pdf</t>
  </si>
  <si>
    <t xml:space="preserve">Governance quality explains foreign entry mode choices better than cultural distance.</t>
  </si>
  <si>
    <t xml:space="preserve">Guler, I., &amp; Guillen, M. F. (2010). Institutions and the internationalization of US venture capital firms. Journal of International Business Studies, 41(2), 185-205.</t>
  </si>
  <si>
    <t xml:space="preserve">Folder &gt; Not Screened Yet: jibs.2009.35.pdf</t>
  </si>
  <si>
    <t xml:space="preserve">Home and host country institutions shape where US VC firms invest abroad.</t>
  </si>
  <si>
    <t xml:space="preserve">Shenkar, O. (2001). Cultural distance revisited: Towards a more rigorous conceptualization and measurement of cultural differences. Journal of International Business Studies, 32(3), 519-535.</t>
  </si>
  <si>
    <t xml:space="preserve">Folder &gt; Not Screened Yet: palgrave.jibs.8490982.pdf</t>
  </si>
  <si>
    <t xml:space="preserve">Common cultural distance measures rest on hidden assumptions such as symmetry and stability over time.</t>
  </si>
  <si>
    <t xml:space="preserve">Ahern, K. R., Daminelli, D., &amp; Fracassi, C. (2015). Lost in translation? The effect of cultural values on mergers around the world. Journal of Financial Economics, 117(1), 165-189.</t>
  </si>
  <si>
    <t xml:space="preserve">Cultural distance between countries reduces the number of cross-border mergers and their combined returns.</t>
  </si>
  <si>
    <t xml:space="preserve">Joshi, Chandrashekar, Brem &amp; Momaya (2019). Foreign venture capital firms in a cross-border context: Empirical insights from India. Sustainability, 11, 6265. [check initials]</t>
  </si>
  <si>
    <t xml:space="preserve">1j</t>
  </si>
  <si>
    <t xml:space="preserve">1j ...pdf</t>
  </si>
  <si>
    <t xml:space="preserve">Research on foreign VC firms has focused largely on emerging markets such as India.</t>
  </si>
  <si>
    <t xml:space="preserve">Wang, L., &amp; Wang, S. (2011). Cross-border venture capital performance: Evidence from China. Pacific-Basin Finance Journal, 19, 71-97.</t>
  </si>
  <si>
    <t xml:space="preserve">2a</t>
  </si>
  <si>
    <t xml:space="preserve">2a ...pdf</t>
  </si>
  <si>
    <t xml:space="preserve">Studies of cross-border VC performance often use Chinese data.</t>
  </si>
  <si>
    <t xml:space="preserve">Humphery-Jenner, M., &amp; Suchard, J.-A. (2013). Foreign VCs and venture success: Evidence from China. Journal of Corporate Finance, 21, 16-35.</t>
  </si>
  <si>
    <t xml:space="preserve">2d</t>
  </si>
  <si>
    <t xml:space="preserve">2d ...pdf</t>
  </si>
  <si>
    <t xml:space="preserve">Foreign VC involvement is associated with venture success in China.</t>
  </si>
  <si>
    <t xml:space="preserve">Dai, N., Jo, H., &amp; Kassicieh, S. (2012). Cross-border venture capital investments in Asia: Selection and exit performance. Journal of Business Venturing, 27, 666-684.</t>
  </si>
  <si>
    <t xml:space="preserve">2n</t>
  </si>
  <si>
    <t xml:space="preserve">2n ...pdf</t>
  </si>
  <si>
    <t xml:space="preserve">Europe and gap; Analysis and robustness</t>
  </si>
  <si>
    <t xml:space="preserve">Foreign VCs select different ventures than local VCs, which must be accounted for when comparing exit performance.</t>
  </si>
  <si>
    <t xml:space="preserve">Taglialatela &amp; Barontini (2025). Prior co-investments and exits: A study on European venture capital syndicates. Venture Capital, 27(3), 271-298. [check initials]</t>
  </si>
  <si>
    <t xml:space="preserve">3c</t>
  </si>
  <si>
    <t xml:space="preserve">3c ...pdf</t>
  </si>
  <si>
    <t xml:space="preserve">Prior co-investments among European VC syndicate members are associated with exit outcomes.</t>
  </si>
  <si>
    <t xml:space="preserve">Christopoulos, Koeppl &amp; Koppl-Turyna (2022). Syndication networks and company survival: Evidence from European venture capital deals. Venture Capital, 24(2), 105-135. [check initials]</t>
  </si>
  <si>
    <t xml:space="preserve">3g</t>
  </si>
  <si>
    <t xml:space="preserve">3g ...pdf</t>
  </si>
  <si>
    <t xml:space="preserve">A syndicate's network position affects the survival of European VC-backed companies.</t>
  </si>
  <si>
    <t xml:space="preserve">Meuleman, M., &amp; Wright, M. (2011). Cross-border private equity syndication: Institutional context and learning. Journal of Business Venturing, 26(1), 35-48.</t>
  </si>
  <si>
    <t xml:space="preserve">Institutional context and learning affect whether foreign private equity firms syndicate with local partners.</t>
  </si>
  <si>
    <t xml:space="preserve">Asdrubali &amp; Testa. Cross-regional venture capital flows in Europe. European Commission / SSRN 6433315. [check if this is the same work as the JRC 2026 paper]</t>
  </si>
  <si>
    <t xml:space="preserve">Cross-regional VC flows in Europe are shaped by proximity between regions.</t>
  </si>
  <si>
    <t xml:space="preserve">Aizenman, J., &amp; Kendall, J. (2012). The internationalization of venture capital. Journal of Economic Studies, 39(5), 488-511.</t>
  </si>
  <si>
    <t xml:space="preserve">Cross-border VC investment is more likely between countries with a common language and closer economic ties.</t>
  </si>
  <si>
    <t xml:space="preserve">Cuypers, I. R. P., Ertug, G., &amp; Hennart, J.-F. (2015). The effects of linguistic distance and lingua franca proficiency on the stake taken by acquirers in cross-border acquisitions. Journal of International Business Studies, 46(4), 429-442.</t>
  </si>
  <si>
    <t xml:space="preserve">Greater linguistic distance leads acquirers to take smaller stakes in cross-border acquisitions.</t>
  </si>
  <si>
    <t xml:space="preserve">Bengtsson, O., &amp; Hsu, D. H. (2015). Ethnic matching in the U.S. venture capital market. Journal of Business Venturing, 30(2), 338-354.</t>
  </si>
  <si>
    <t xml:space="preserve">VCs are more likely to invest in founders who share their ethnic background.</t>
  </si>
  <si>
    <t xml:space="preserve">Gulati, R. (1998). Alliances and networks. Strategic Management Journal, 19(4), 293-317.</t>
  </si>
  <si>
    <t xml:space="preserve">Folder &gt; Not Screened Yet: Strategic Management Journal - 1998 - Gulati ...pdf</t>
  </si>
  <si>
    <t xml:space="preserve">Prior ties between partners shape the formation and performance of alliances.</t>
  </si>
  <si>
    <t xml:space="preserve">Makela, M. M., &amp; Maula, M. V. J. (2008). Attracting cross-border venture capital: The role of a local investor. Entrepreneurship &amp; Regional Development, 20(3), 237-257.</t>
  </si>
  <si>
    <t xml:space="preserve">1e</t>
  </si>
  <si>
    <t xml:space="preserve">1e ...pdf</t>
  </si>
  <si>
    <t xml:space="preserve">A local co-investor helps a startup attract foreign VC by reducing the foreign investor's information disadvantage.</t>
  </si>
  <si>
    <t xml:space="preserve">Barney, J. (1991). Firm resources and sustained competitive advantage. Journal of Management, 17(1), 99-120.</t>
  </si>
  <si>
    <t xml:space="preserve">Folder &gt; Not Screened Yet: barney-1991-...pdf</t>
  </si>
  <si>
    <t xml:space="preserve">Resources that are valuable, rare, hard to imitate and hard to substitute give a sustained competitive advantage.</t>
  </si>
  <si>
    <t xml:space="preserve">Wernerfelt, B. (1984). A resource-based view of the firm. Strategic Management Journal, 5(2), 171-180.</t>
  </si>
  <si>
    <t xml:space="preserve">Folder &gt; Not Screened Yet: Strategic Management Journal - April June 1984 - Wernerfelt ...pdf</t>
  </si>
  <si>
    <t xml:space="preserve">Firms can be analysed as bundles of resources rather than products.</t>
  </si>
  <si>
    <t xml:space="preserve">De Clercq, D., &amp; Dimov, D. (2008). Internal knowledge development and external knowledge access in venture capital investment performance. Journal of Management Studies, 45(3), 585-612.</t>
  </si>
  <si>
    <t xml:space="preserve">A VC firm's industry-specific knowledge improves its investment performance.</t>
  </si>
  <si>
    <t xml:space="preserve">Norton, E., &amp; Tenenbaum, B. H. (1993). Specialization versus diversification as a venture capital investment strategy. Journal of Business Venturing, 8(5), 431-442.</t>
  </si>
  <si>
    <t xml:space="preserve">VCs manage risk through specialized knowledge rather than through diversification.</t>
  </si>
  <si>
    <t xml:space="preserve">Lehner (2023). Looking for complementarities: Within-industry diversification and geographic diversification of venture capital firms. Venture Capital, 25(4), 431-456. [check initial]</t>
  </si>
  <si>
    <t xml:space="preserve">5c</t>
  </si>
  <si>
    <t xml:space="preserve">5c ...pdf</t>
  </si>
  <si>
    <t xml:space="preserve">Industry focus and geographic diversification of VC firms are related: firms that specialize by industry diversify more geographically. [check direction]</t>
  </si>
  <si>
    <t xml:space="preserve">Joshi, K. (2018). Managing the risks from high-tech investments in India: Differential strategies of foreign and domestic venture capital firms. Journal of Global Entrepreneurship Research, 8, 21.</t>
  </si>
  <si>
    <t xml:space="preserve">5d</t>
  </si>
  <si>
    <t xml:space="preserve">5d ...pdf</t>
  </si>
  <si>
    <t xml:space="preserve">Foreign and domestic VC firms use different strategies to manage the risks of high-tech investments.</t>
  </si>
  <si>
    <t xml:space="preserve">De Prijcker, S., Manigart, S., Wright, M., &amp; De Maeseneire, W. (2012). The influence of experiential, inherited and external knowledge on the internationalization of venture capital firms. International Business Review, 21, 929-940.</t>
  </si>
  <si>
    <t xml:space="preserve">6b</t>
  </si>
  <si>
    <t xml:space="preserve">6b ...pdf</t>
  </si>
  <si>
    <t xml:space="preserve">Experiential, inherited and external knowledge increase the likelihood that VC firms invest abroad.</t>
  </si>
  <si>
    <t xml:space="preserve">Gang &amp; Kim (2025). Comparing venture capital syndication and its outcomes in the USA and China: An institutional theory perspective. Journal of Entrepreneurship in Emerging Economies. [check vol/pages, initials]</t>
  </si>
  <si>
    <t xml:space="preserve">2b</t>
  </si>
  <si>
    <t xml:space="preserve">2b ...pdf</t>
  </si>
  <si>
    <t xml:space="preserve">Receiving follow-on funding is used as an outcome of VC syndication.</t>
  </si>
  <si>
    <t xml:space="preserve">Bedu, N., Brossard, O., &amp; Montalban, M. (2024). Proximity relations and the fate of VC-backed startups: Evidence from a global 33-year-long dataset. Journal of Evolutionary Economics, 34, 429-464.</t>
  </si>
  <si>
    <t xml:space="preserve">2h</t>
  </si>
  <si>
    <t xml:space="preserve">2h ...pdf</t>
  </si>
  <si>
    <t xml:space="preserve">Raising a later funding round is used as a measure of startup success.</t>
  </si>
  <si>
    <t xml:space="preserve">Nahata, R. (2008). Venture capital reputation and investment performance. Journal of Financial Economics, 90(2), 127-151.</t>
  </si>
  <si>
    <t xml:space="preserve">More reputable lead VCs are more likely to bring their portfolio companies to a successful exit.</t>
  </si>
  <si>
    <t xml:space="preserve">Matusik, S. F., &amp; Fitza, M. A. (2012). Diversification in the venture capital industry: Leveraging knowledge under uncertainty. Strategic Management Journal, 33(4), 407-426.</t>
  </si>
  <si>
    <t xml:space="preserve">The relationship between VC firm diversification and performance is U-shaped.</t>
  </si>
  <si>
    <t xml:space="preserve">Knill, A. (2009). Should venture capitalists put all their eggs in one basket? Diversification versus pure-play strategies in venture capital. Financial Management, 38(3), 441-486.</t>
  </si>
  <si>
    <t xml:space="preserve">VC firms that diversify across industries perform differently from focused firms. [check direction]</t>
  </si>
  <si>
    <t xml:space="preserve">Sorensen, M. (2007). How smart is smart money? A two-sided matching model of venture capital. Journal of Finance, 62(6), 2725-2762.</t>
  </si>
  <si>
    <t xml:space="preserve">Folder &gt; Not Screened Yet: The Journal of Finance - 2007 - SORENSEN ...pdf</t>
  </si>
  <si>
    <t xml:space="preserve">Part of the better performance of experienced VCs comes from selecting better companies, not only from adding value.</t>
  </si>
  <si>
    <t xml:space="preserve">Espenlaub, S., Khurshed, A., &amp; Mohamed, A. (2015). Venture capital exits in domestic and cross-border investments. Journal of Banking &amp; Finance, 53, 215-232.</t>
  </si>
  <si>
    <t xml:space="preserve">2o</t>
  </si>
  <si>
    <t xml:space="preserve">2o ...pdf</t>
  </si>
  <si>
    <t xml:space="preserve">Cross-border VC investments differ from domestic ones in exit route and time to exit.</t>
  </si>
  <si>
    <t xml:space="preserve">Cumming, D., Knill, A., &amp; Syvrud, K. (2016). Do international investors enhance private firm value? Evidence from venture capital. Journal of International Business Studies, 47, 347-373.</t>
  </si>
  <si>
    <t xml:space="preserve">2l</t>
  </si>
  <si>
    <t xml:space="preserve">2l ...pdf</t>
  </si>
  <si>
    <t xml:space="preserve">International investors are associated with higher private firm value.</t>
  </si>
  <si>
    <t xml:space="preserve">Ai, C., &amp; Norton, E. C. (2003). Interaction terms in logit and probit models. Economics Letters, 80(1), 123-129.</t>
  </si>
  <si>
    <t xml:space="preserve">In logit and probit models, the interaction effect cannot be read from the coefficient of the interaction term.</t>
  </si>
  <si>
    <t xml:space="preserve">Wolfolds, S. E., &amp; Siegel, J. (2019). Misaccounting for endogeneity: The peril of relying on the Heckman two-step method without a valid instrument. Strategic Management Journal, 40(3), 432-462. [check pages]</t>
  </si>
  <si>
    <t xml:space="preserve">A Heckman model without a valid exclusion restriction does not fix endogeneity and can make bias worse.</t>
  </si>
  <si>
    <t xml:space="preserve">Bertoni, F., Colombo, M. G., &amp; Quas, A. (2015). The patterns of venture capital investment in Europe. Small Business Economics, 45, 543-560.</t>
  </si>
  <si>
    <t xml:space="preserve">3f</t>
  </si>
  <si>
    <t xml:space="preserve">3f ...pdf</t>
  </si>
  <si>
    <t xml:space="preserve">Sample and data</t>
  </si>
  <si>
    <t xml:space="preserve">Investment patterns of European VC differ across investor types.</t>
  </si>
  <si>
    <t xml:space="preserve">Retterath, A., &amp; Braun, R. (2020). Benchmarking venture capital databases. SSRN 3706108.</t>
  </si>
  <si>
    <t xml:space="preserve">Sample and data; Limitations / future research</t>
  </si>
  <si>
    <t xml:space="preserve">Commercial VC databases differ in coverage, especially for early-stage deals.</t>
  </si>
  <si>
    <t xml:space="preserve">Hain, D., Johan, S., &amp; Wang, D. (2016). Determinants of cross-border venture capital investments in emerging and developed economies: The effects of relational and institutional trust. Journal of Business Ethics. [check volume and pages; doi 10.1007/s10551-015-2772-4]</t>
  </si>
  <si>
    <t xml:space="preserve">Relational and institutional trust between countries increase cross-border VC investment.</t>
  </si>
  <si>
    <t xml:space="preserve">J. Claim check while writing (optional)</t>
  </si>
  <si>
    <t xml:space="preserve">Devigne, D., Vanacker, T., Manigart, S., &amp; Paeleman, I. (2013). The role of domestic and cross-border venture capital investors in the growth of portfolio companies. Small Business Economics, 40(3), 553-573.</t>
  </si>
  <si>
    <t xml:space="preserve">Cross-border and domestic VC investors contribute differently to portfolio company growth, depending on the company's stage.</t>
  </si>
  <si>
    <t xml:space="preserve">Milanov, H., &amp; Shepherd, D. A. (2013). The importance of the first relationship: The ongoing influence of initial network on future status. Strategic Management Journal, 34(6), 727-750.</t>
  </si>
  <si>
    <t xml:space="preserve">A startup's first investors have a lasting influence on its later status.</t>
  </si>
  <si>
    <t xml:space="preserve">Bradley, W., Durufle, G., Hellmann, T., &amp; Wilson, K. (2019). Cross-border venture capital investments: What is the role of public policy? Journal of Risk and Financial Management, 12(3), 112.</t>
  </si>
  <si>
    <t xml:space="preserve">Policy makers care about cross-border VC because it brings capital and expertise to local startups.</t>
  </si>
  <si>
    <t xml:space="preserve">Viete, S., &amp; Oschwald, D. (2025). Trends in cross-border venture capital investments in Germany and Europe. KfW Research, No. 506. [check authors]</t>
  </si>
  <si>
    <t xml:space="preserve">Cross-border investors account for a large and growing share of VC in Germany and Europe. [check figure]</t>
  </si>
  <si>
    <t xml:space="preserve">Mariotti, S., &amp; Piscitello, L. (1995). Information costs and location of FDIs within the host country: Empirical evidence from Italy. Journal of International Business Studies, 26(4), 815-841.</t>
  </si>
  <si>
    <t xml:space="preserve">Information costs shape where foreign investors locate within a host country.</t>
  </si>
  <si>
    <t xml:space="preserve">[Authors to check] (2020). Euro adoption and institutional distance in cross-border VC (difference-in-differences). Asia-Pacific Journal of Business Venturing and Entrepreneurship.</t>
  </si>
  <si>
    <t xml:space="preserve">To find: koreascience.kr/article/JAKO202007861263641.page</t>
  </si>
  <si>
    <t xml:space="preserve">Euro adoption changed cross-border VC between member states. [check what is actually found]</t>
  </si>
  <si>
    <t xml:space="preserve">Parked and dropped (not in the reading order)</t>
  </si>
  <si>
    <t xml:space="preserve">Park = do not read before Sunday unless your chosen moderator makes it relevant. Drop = do not use. Nothing is deleted from your folder.</t>
  </si>
  <si>
    <t xml:space="preserve">Folder code / file</t>
  </si>
  <si>
    <t xml:space="preserve">Paper</t>
  </si>
  <si>
    <t xml:space="preserve">Action</t>
  </si>
  <si>
    <t xml:space="preserve">Reason</t>
  </si>
  <si>
    <t xml:space="preserve">0f</t>
  </si>
  <si>
    <t xml:space="preserve">Jaaskelainen, M. (2012). Venture capital syndication: Synthesis and future directions. International Journal of Management Reviews, 14, 444-463.</t>
  </si>
  <si>
    <t xml:space="preserve">Park</t>
  </si>
  <si>
    <t xml:space="preserve">Background on syndication. Open only if you pick syndication as a moderator.</t>
  </si>
  <si>
    <t xml:space="preserve">1d</t>
  </si>
  <si>
    <t xml:space="preserve">Huang, X., Kenney, M., &amp; Patton, D. (2015). Responding to uncertainty: Syndication partner choice by foreign VC firms in China. Venture Capital, 17(3), 215-235.</t>
  </si>
  <si>
    <t xml:space="preserve">China, partner choice. Possible extra gap cite (China focus).</t>
  </si>
  <si>
    <t xml:space="preserve">1f</t>
  </si>
  <si>
    <t xml:space="preserve">Plagmann, C., &amp; Lutz, E. (2019). Beggars or choosers? Journal of Banking and Finance, 100, 359-378.</t>
  </si>
  <si>
    <t xml:space="preserve">Reputation in international syndicates. Open if reputation becomes a moderator.</t>
  </si>
  <si>
    <t xml:space="preserve">1g</t>
  </si>
  <si>
    <t xml:space="preserve">Khurshed, A., Mohamed, A., Schwienbacher, A., &amp; Wang, F. (2020). Do VC firms benefit from international syndicates? JIBS, 51, 986-1007.</t>
  </si>
  <si>
    <t xml:space="preserve">Open if international experience becomes a moderator.</t>
  </si>
  <si>
    <t xml:space="preserve">1h</t>
  </si>
  <si>
    <t xml:space="preserve">Bellavitis, C., &amp; Rietveld, J. (2019). Prior co-investments and VC syndicate performance. Strategic Entrepreneurship Journal.</t>
  </si>
  <si>
    <t xml:space="preserve">Not about distance.</t>
  </si>
  <si>
    <t xml:space="preserve">2c</t>
  </si>
  <si>
    <t xml:space="preserve">Zhang, L., &amp; Zhang, X. (2022). The foreign experience and investment performance of venture capitalists. Accounting &amp; Finance, 62, 1675-1714.</t>
  </si>
  <si>
    <t xml:space="preserve">Open if foreign experience becomes a moderator.</t>
  </si>
  <si>
    <t xml:space="preserve">2g</t>
  </si>
  <si>
    <t xml:space="preserve">Wu, J., Chen, C. R., &amp; Huang, Y. S. (2026). Distant VCs and IPO performance. Applied Economics, 58(30), 5955-5976.</t>
  </si>
  <si>
    <t xml:space="preserve">IPO outcome only; possible cite for distance and performance.</t>
  </si>
  <si>
    <t xml:space="preserve">2j</t>
  </si>
  <si>
    <t xml:space="preserve">Hong, S., Guerini, M., &amp; Park, H. D. (2025). Global connections, local impacts. ETP, 49(6), 1710-1740.</t>
  </si>
  <si>
    <t xml:space="preserve">Open if international syndication experience becomes a moderator.</t>
  </si>
  <si>
    <t xml:space="preserve">2k</t>
  </si>
  <si>
    <t xml:space="preserve">Wang, J., et al. (2025). Geographical distance, investment strategies and performance of VC: Chinese enterprises. Spatial Economic Analysis, 20(1), 8-32.</t>
  </si>
  <si>
    <t xml:space="preserve">Within-China geographic distance.</t>
  </si>
  <si>
    <t xml:space="preserve">2m</t>
  </si>
  <si>
    <t xml:space="preserve">Kim, J. Y., &amp; Park, H. D. (2021). The influence of VC syndicate size on venture performance. Venture Capital, 23(2), 179-203.</t>
  </si>
  <si>
    <t xml:space="preserve">Possible source for syndicate size as a control.</t>
  </si>
  <si>
    <t xml:space="preserve">2p</t>
  </si>
  <si>
    <t xml:space="preserve">Lee, V. The analysis of cross-border VC networks and investment performances using a logit model. [journal/year unclear]</t>
  </si>
  <si>
    <t xml:space="preserve">Unclear source; do not cite unless you verify it.</t>
  </si>
  <si>
    <t xml:space="preserve">3a</t>
  </si>
  <si>
    <t xml:space="preserve">Arundale, K. (2020). Syndication and cross-border collaboration by VC firms in Europe and the USA. Venture Capital, 22(4), 355-376.</t>
  </si>
  <si>
    <t xml:space="preserve">Qualitative Europe vs US; possible Europe context cite.</t>
  </si>
  <si>
    <t xml:space="preserve">3d</t>
  </si>
  <si>
    <t xml:space="preserve">Harrison, R. T., Yohanna, B., &amp; Pierrakis, Y. (2020). Foreign VC investments in the UK. Local Economy, 35(3), 230-256.</t>
  </si>
  <si>
    <t xml:space="preserve">UK context; possible cite.</t>
  </si>
  <si>
    <t xml:space="preserve">5a</t>
  </si>
  <si>
    <t xml:space="preserve">Joshi, K. A. (2019). Specialisation and syndication as risk management strategies for VC firms in India. IJEV, 11(6).</t>
  </si>
  <si>
    <t xml:space="preserve">India; only if specialization becomes a moderator.</t>
  </si>
  <si>
    <t xml:space="preserve">NS: 1-s2.0-S0883902609000093-main.pdf</t>
  </si>
  <si>
    <t xml:space="preserve">Colombo, M. G., &amp; Grilli, L. (2010). On growth drivers of high-tech start-ups. Journal of Business Venturing, 25(6).</t>
  </si>
  <si>
    <t xml:space="preserve">Drop</t>
  </si>
  <si>
    <t xml:space="preserve">Not about cross-border or distance.</t>
  </si>
  <si>
    <t xml:space="preserve">NS: s11187-011-9385-9.pdf</t>
  </si>
  <si>
    <t xml:space="preserve">Bertoni, F., Colombo, M. G., &amp; Grilli, L. (2013). Small Business Economics, 40(3).</t>
  </si>
  <si>
    <t xml:space="preserve">Not needed for this design.</t>
  </si>
  <si>
    <t xml:space="preserve">4d</t>
  </si>
  <si>
    <t xml:space="preserve">Duplicate of 1b (Kollmann et al., 2025).</t>
  </si>
  <si>
    <t xml:space="preserve">Drop (duplicate)</t>
  </si>
  <si>
    <t xml:space="preserve">Keep 1b.</t>
  </si>
  <si>
    <t xml:space="preserve">NS: Institutional Distance and Cross Border Venture Capital Investment Flows.pdf</t>
  </si>
  <si>
    <t xml:space="preserve">Duplicate of 4e (Moore et al., 2015).</t>
  </si>
  <si>
    <t xml:space="preserve">Keep 4e.</t>
  </si>
  <si>
    <t xml:space="preserve">NS: Strategic Management Journal - 2018 - Alvarez-Garrido ...pdf</t>
  </si>
  <si>
    <t xml:space="preserve">Duplicate of 6a (Alvarez-Garrido &amp; Guler, 2018).</t>
  </si>
  <si>
    <t xml:space="preserve">Keep 6a.</t>
  </si>
  <si>
    <t xml:space="preserve">~$ files</t>
  </si>
  <si>
    <t xml:space="preserve">Word lock files (start with ~$).</t>
  </si>
  <si>
    <t xml:space="preserve">Delete</t>
  </si>
  <si>
    <t xml:space="preserve">Not papers; created by Word.</t>
  </si>
  <si>
    <t xml:space="preserve">How to use</t>
  </si>
  <si>
    <t xml:space="preserve">Easiest: open 'Reading prompts (ranked).md' and copy the ready-made prompt for the paper. Or: copy the prompt for the paper's level (Reading list, column H) and paste the fill-in from column J into the [brackets]. Upload the PDF with it. Then CHECK the output against the PDF before copying rows into Notes or L1-L9.</t>
  </si>
  <si>
    <t xml:space="preserve">Master prompt (Deep)</t>
  </si>
  <si>
    <t xml:space="preserve">You are helping me extract research design information from an academic paper for my master's thesis proposal. My topic (still open, I am reading to decide the design): how distance between the investor's and the startup's country affects the performance of cross-border venture capital investments within Europe, and what weakens or strengthens that effect. My supervisor has set: Europe as scope, the startup's first institutional round, a foreign lead investor, follow-on funding as main outcome, and logit models. Moderators, distance measures and controls are still to be decided, so do not filter on my current ideas: report everything the paper does.
Read the attached paper and fill in the template below. Rules:
- Only report what the paper actually says. If something is not reported, write "Not reported". Never guess or fill in from general knowledge.
- Give a page number for every item. For definitions, measures and key findings, add a short direct quote (max 25 words).
- Use (Author, Year) in every bullet and every table row.
- PART A: write short bullets I can paste into my proposal and rewrite. End each section with "Use for my thesis:" (copy / adapt / avoid, and why, max 2 sentences).
- PART B: be EXHAUSTIVE. List every item the paper uses, also ones that seem irrelevant to my study. Output each as a table row with exactly the columns given, separated by " | ", one row per item, no extra text between rows.
=== PART A: DESIGN CHOICES (bullets) ===
A0. Reference: full APA 7 reference; research question (1 sentence); countries/region and time period.
A1. Scope and sample: unit of analysis; which financing round(s) and why; definition of "cross-border"/"foreign"; how the lead investor is identified; investor types included/excluded; sector scope; exclusion rules; final sample size.
A2. Method: estimation model(s); how interactions are tested and interpreted; standard errors (clustering); selection/endogeneity approach and its justification.
A3. Findings (only hypotheses on distance, moderators of distance, or follow-on funding / exit success): result per hypothesis, effect size if reported.
A5. Moderators: (a) every moderator the paper TESTS (what it moderates, mechanism, result); (b) every moderator, boundary condition or contingency the authors SUGGEST in the discussion or future research but do not test; (c) which of these could apply to cross-border deals within Europe, and why (max 2 sentences each).
A4. Relevance to my thesis: which parts of my proposal it could support (theory, distance, Europe/gap, moderators, method); which design options it suggests that I have not considered yet; one sentence I could cite it for.
=== PART B: COMPLETE INVENTORIES (table rows) ===
L1 Theories: Paper | Theory | What it is used to explain | Page
L2 Outcomes (main AND alternative): Paper | Outcome | Main or alternative | Exact definition/coding | Time window | Data source | Page
L3 Distance and other main independent variables: Paper | Variable | Type (institutional/cultural/geographic/psychic/other) | Indicators used | Formula | Data source and year | Page
L4 Moderators (every interaction tested AND every moderator suggested): Paper | Moderator | Tested or suggested | Level (investor/deal/venture/home country/host country/country pair) | Relationship moderated (X -&gt; Y) | Expected sign | Mechanism (1 sentence) | Result | Page
L5 Controls (every control variable): Paper | Control | Level (investor/deal/venture/home country/host country/country pair/time) | Measurement | Data source | Page
L6 Fixed effects: Paper | Fixed effect | Page
L7 Robustness checks: Paper | Check | What it addresses | Result changed? (yes/no) | Page
L8 Data sources: Paper | Database | Used for | Coverage problem admitted | Page
L9 Limitations and future research: Paper | Type (limitation/future research) | Statement | Relevant to cross-border VC in Europe, moderators of distance, or follow-on funding? (yes/no) | Page
Extra focus for this paper (answer this in A3/A5 as well): [FILL IN]</t>
  </si>
  <si>
    <t xml:space="preserve">Section prompt (Targeted)</t>
  </si>
  <si>
    <t xml:space="preserve">Read the attached paper. What I want to learn from this paper: [FILL IN, e.g. how shared language affects cross-border investment].
Using only what the paper says (write "Not reported" otherwise), give:
(1) the full APA 7 reference;
(2) research question, sample and method in 3 bullets;
(3) the findings or arguments relevant to my section, as short paste-ready bullets with (Author, Year) and page number, plus a direct quote of max 25 words for definitions and key findings;
(4) the mechanism the paper gives (why the effect happens), if any;
(5) one sentence I could cite it for.</t>
  </si>
  <si>
    <t xml:space="preserve">Claim-check prompt (Cite only)</t>
  </si>
  <si>
    <t xml:space="preserve">Does the attached paper support this claim: "[FILL IN YOUR SENTENCE]"?
Answer yes / partly / no. Quote the passage (max 40 words) with page number.
If partly or no, rewrite my sentence so it matches exactly what the paper says.
Give the full APA 7 reference.</t>
  </si>
  <si>
    <t xml:space="preserve">Triage prompt (new papers)</t>
  </si>
  <si>
    <t xml:space="preserve">Below is the abstract of a paper I found. My topic (still open): how distance between the investor's and the startup's country affects the performance of cross-border venture capital investments within Europe, and what weakens or strengthens that effect. I am especially looking for moderators of distance.
Based ONLY on the abstract, tell me:
(1) Reading level: Deep (tests or suggests moderators of distance or foreignness, or studies cross-border VC performance in Europe), Targeted (supports one theme), Cite only (one fact or claim), or Skip. One reason.
(2) Theme(s) from this list: Introduction / relevance; Liability of foreignness; Distance (types, mechanisms); Europe and gap; Moderators; Investor-level factors; Outcome / performance; Sample and data; Measures; Analysis and robustness; Limitations / future research.
(3) The fill-in for the matching prompt: Deep = one "Extra focus" line; Targeted = one "What I want to learn" line; Cite only = the one sentence I would cite it for.
(4) The APA 7 reference, with [check] on anything you cannot see in the abstract.
Abstract: [PASTE]</t>
  </si>
  <si>
    <t xml:space="preserve">Theme</t>
  </si>
  <si>
    <t xml:space="preserve">Paper (Author, Year)</t>
  </si>
  <si>
    <t xml:space="preserve">Point / finding / argument</t>
  </si>
  <si>
    <t xml:space="preserve">Mechanism (why)</t>
  </si>
  <si>
    <t xml:space="preserve">Sample / context</t>
  </si>
  <si>
    <t xml:space="preserve">Page</t>
  </si>
  <si>
    <t xml:space="preserve">Short quote</t>
  </si>
  <si>
    <t xml:space="preserve">Checked</t>
  </si>
  <si>
    <t xml:space="preserve">Used in draft</t>
  </si>
  <si>
    <t xml:space="preserve">EXAMPLE: Grinblatt &amp; Keloharju (2001)</t>
  </si>
  <si>
    <t xml:space="preserve">Investors prefer firms that communicate in their own language, holding distance constant.</t>
  </si>
  <si>
    <t xml:space="preserve">A shared language lowers the cost of obtaining and trusting information.</t>
  </si>
  <si>
    <t xml:space="preserve">Finnish stock investors</t>
  </si>
  <si>
    <t xml:space="preserve">check</t>
  </si>
  <si>
    <t xml:space="preserve">No</t>
  </si>
  <si>
    <t xml:space="preserve">EXAMPLE: Li et al. (2014)</t>
  </si>
  <si>
    <t xml:space="preserve">Institutional and cultural distance reduce the likelihood of exit success in cross-border VC.</t>
  </si>
  <si>
    <t xml:space="preserve">Distance hampers VCs' selection, monitoring and advising, and raises legitimacy costs.</t>
  </si>
  <si>
    <t xml:space="preserve">Cross-border first rounds, VentureXpert</t>
  </si>
  <si>
    <t xml:space="preserve">Theory</t>
  </si>
  <si>
    <t xml:space="preserve">What it is used to explain</t>
  </si>
  <si>
    <t xml:space="preserve">Institutional theory</t>
  </si>
  <si>
    <t xml:space="preserve">Why institutional distance reduces exit success</t>
  </si>
  <si>
    <t xml:space="preserve">Outcome</t>
  </si>
  <si>
    <t xml:space="preserve">Main or alternative</t>
  </si>
  <si>
    <t xml:space="preserve">Exact definition / coding</t>
  </si>
  <si>
    <t xml:space="preserve">Time window</t>
  </si>
  <si>
    <t xml:space="preserve">Data source</t>
  </si>
  <si>
    <t xml:space="preserve">Exit success</t>
  </si>
  <si>
    <t xml:space="preserve">Main</t>
  </si>
  <si>
    <t xml:space="preserve">1 if the venture went public or was acquired, else 0</t>
  </si>
  <si>
    <t xml:space="preserve">VentureXpert</t>
  </si>
  <si>
    <t xml:space="preserve">Variable</t>
  </si>
  <si>
    <t xml:space="preserve">Type</t>
  </si>
  <si>
    <t xml:space="preserve">Indicators used</t>
  </si>
  <si>
    <t xml:space="preserve">Formula</t>
  </si>
  <si>
    <t xml:space="preserve">Data source and year</t>
  </si>
  <si>
    <t xml:space="preserve">Institutional distance</t>
  </si>
  <si>
    <t xml:space="preserve">institutional</t>
  </si>
  <si>
    <t xml:space="preserve">Six WGI dimensions, averaged into a composite</t>
  </si>
  <si>
    <t xml:space="preserve">Absolute difference home vs host</t>
  </si>
  <si>
    <t xml:space="preserve">WGI (Kaufmann et al.)</t>
  </si>
  <si>
    <t xml:space="preserve">Moderator</t>
  </si>
  <si>
    <t xml:space="preserve">Tested or suggested</t>
  </si>
  <si>
    <t xml:space="preserve">Level</t>
  </si>
  <si>
    <t xml:space="preserve">Relationship moderated (X -&gt; Y)</t>
  </si>
  <si>
    <t xml:space="preserve">Expected sign</t>
  </si>
  <si>
    <t xml:space="preserve">Mechanism</t>
  </si>
  <si>
    <t xml:space="preserve">Result</t>
  </si>
  <si>
    <t xml:space="preserve">Broad international experience</t>
  </si>
  <si>
    <t xml:space="preserve">Tested</t>
  </si>
  <si>
    <t xml:space="preserve">investor</t>
  </si>
  <si>
    <t xml:space="preserve">Cultural / institutional distance -&gt; exit success</t>
  </si>
  <si>
    <t xml:space="preserve">weakens</t>
  </si>
  <si>
    <t xml:space="preserve">Experience builds capability to adapt to unfamiliar environments</t>
  </si>
  <si>
    <t xml:space="preserve">Supported for institutional distance</t>
  </si>
  <si>
    <t xml:space="preserve">Control</t>
  </si>
  <si>
    <t xml:space="preserve">Measurement</t>
  </si>
  <si>
    <t xml:space="preserve">VC past success</t>
  </si>
  <si>
    <t xml:space="preserve">Log number of ventures funded by the VC that went public or were sold in the past five years</t>
  </si>
  <si>
    <t xml:space="preserve">Fixed effect</t>
  </si>
  <si>
    <t xml:space="preserve">Industry, nation, year</t>
  </si>
  <si>
    <t xml:space="preserve">Check</t>
  </si>
  <si>
    <t xml:space="preserve">What it addresses</t>
  </si>
  <si>
    <t xml:space="preserve">Result changed?</t>
  </si>
  <si>
    <t xml:space="preserve">Rule of law instead of composite institutional distance</t>
  </si>
  <si>
    <t xml:space="preserve">Measurement of institutional distance</t>
  </si>
  <si>
    <t xml:space="preserve">Database</t>
  </si>
  <si>
    <t xml:space="preserve">Used for</t>
  </si>
  <si>
    <t xml:space="preserve">Coverage problem admitted</t>
  </si>
  <si>
    <t xml:space="preserve">Deal and investor data</t>
  </si>
  <si>
    <t xml:space="preserve">Statement</t>
  </si>
  <si>
    <t xml:space="preserve">Relevant to my study?</t>
  </si>
  <si>
    <t xml:space="preserve">EXAMPLE: Bosio et al. (2025)</t>
  </si>
  <si>
    <t xml:space="preserve">Future research</t>
  </si>
  <si>
    <t xml:space="preserve">Treating the EU as a homogeneous market is a limitation; national differences should be studied.</t>
  </si>
  <si>
    <t xml:space="preserve">Yes</t>
  </si>
  <si>
    <t xml:space="preserve">Counts (update automatically from L4 and L5)</t>
  </si>
  <si>
    <t xml:space="preserve">Provisional starting lists. ADD any control or moderator you find: type its name in an empty yellow cell, spelled exactly as in L4/L5. Counts exclude example rows.</t>
  </si>
  <si>
    <t xml:space="preserve">Control (as written in L5)</t>
  </si>
  <si>
    <t xml:space="preserve">Papers using it</t>
  </si>
  <si>
    <t xml:space="preserve">Where I found it / note</t>
  </si>
  <si>
    <t xml:space="preserve">Moderator (as written in L4)</t>
  </si>
  <si>
    <t xml:space="preserve">Suggested</t>
  </si>
  <si>
    <t xml:space="preserve">International experience</t>
  </si>
  <si>
    <t xml:space="preserve">VC reputation</t>
  </si>
  <si>
    <t xml:space="preserve">Host country experience</t>
  </si>
  <si>
    <t xml:space="preserve">VC age</t>
  </si>
  <si>
    <t xml:space="preserve">Local co-investor</t>
  </si>
  <si>
    <t xml:space="preserve">Syndication</t>
  </si>
  <si>
    <t xml:space="preserve">Reputation</t>
  </si>
  <si>
    <t xml:space="preserve">Industry specialization</t>
  </si>
  <si>
    <t xml:space="preserve">Network centrality</t>
  </si>
  <si>
    <t xml:space="preserve">Syndicate size</t>
  </si>
  <si>
    <t xml:space="preserve">Trust</t>
  </si>
  <si>
    <t xml:space="preserve">Country interconnectedness</t>
  </si>
  <si>
    <t xml:space="preserve">Local office</t>
  </si>
  <si>
    <t xml:space="preserve">Regulatory institutions</t>
  </si>
  <si>
    <t xml:space="preserve">Round size</t>
  </si>
  <si>
    <t xml:space="preserve">Entrepreneurial ecosystem</t>
  </si>
  <si>
    <t xml:space="preserve">Venture age</t>
  </si>
  <si>
    <t xml:space="preserve">Early stage</t>
  </si>
  <si>
    <t xml:space="preserve">Common language</t>
  </si>
  <si>
    <t xml:space="preserve">Geographic distance</t>
  </si>
  <si>
    <t xml:space="preserve">Shared border</t>
  </si>
  <si>
    <t xml:space="preserve">Host GDP</t>
  </si>
  <si>
    <t xml:space="preserve">Host stock market development</t>
  </si>
  <si>
    <t xml:space="preserve">Host VC volume</t>
  </si>
  <si>
    <t xml:space="preserve">Exit market conditions</t>
  </si>
  <si>
    <t xml:space="preserve">Investor type</t>
  </si>
  <si>
    <t xml:space="preserve">Moderators by level</t>
  </si>
  <si>
    <t xml:space="preserve">deal</t>
  </si>
  <si>
    <t xml:space="preserve">venture</t>
  </si>
  <si>
    <t xml:space="preserve">home country</t>
  </si>
  <si>
    <t xml:space="preserve">host country</t>
  </si>
  <si>
    <t xml:space="preserve">country pair</t>
  </si>
  <si>
    <t xml:space="preserve">time</t>
  </si>
  <si>
    <t xml:space="preserve">Reading: moderators that are often suggested but rarely tested, or rarely used at country-pair level, are candidates for your contribution.</t>
  </si>
  <si>
    <t xml:space="preserve">#</t>
  </si>
  <si>
    <t xml:space="preserve">Area</t>
  </si>
  <si>
    <t xml:space="preserve">Design choice</t>
  </si>
  <si>
    <t xml:space="preserve">Options considered</t>
  </si>
  <si>
    <t xml:space="preserve">Current candidate (not final)</t>
  </si>
  <si>
    <t xml:space="preserve">Why this candidate</t>
  </si>
  <si>
    <t xml:space="preserve">Sources to check</t>
  </si>
  <si>
    <t xml:space="preserve">Fallback if data fails</t>
  </si>
  <si>
    <t xml:space="preserve">Final decision (after reading)</t>
  </si>
  <si>
    <t xml:space="preserve">Scope &amp; sample</t>
  </si>
  <si>
    <t xml:space="preserve">Countries</t>
  </si>
  <si>
    <t xml:space="preserve">EU only; EU + UK + CH + NO</t>
  </si>
  <si>
    <t xml:space="preserve">Europe = EU27 + UK + Switzerland + Norway</t>
  </si>
  <si>
    <t xml:space="preserve">Supervisor (Meeting 2); EU membership changes over time; UK is a major VC market</t>
  </si>
  <si>
    <t xml:space="preserve">Alhorr et al. (2008); Moore et al. (2015); Bosio et al. (2025)</t>
  </si>
  <si>
    <t xml:space="preserve">Set by supervisor</t>
  </si>
  <si>
    <t xml:space="preserve">Small-market rule</t>
  </si>
  <si>
    <t xml:space="preserve">No rule; min 20 / 30 deals per host country</t>
  </si>
  <si>
    <t xml:space="preserve">Drop host countries with fewer than 30 foreign-led first rounds</t>
  </si>
  <si>
    <t xml:space="preserve">Supervisor: drop markets too small to be meaningful</t>
  </si>
  <si>
    <t xml:space="preserve">Check practice in Li et al. (2014), Nahata et al. (2014)</t>
  </si>
  <si>
    <t xml:space="preserve">Candidate</t>
  </si>
  <si>
    <t xml:space="preserve">Threshold of 20</t>
  </si>
  <si>
    <t xml:space="preserve">Time period</t>
  </si>
  <si>
    <t xml:space="preserve">Depends on LSEG coverage</t>
  </si>
  <si>
    <t xml:space="preserve">About 2005-2022 (follow-on outcome); exit cohort up to about 2017</t>
  </si>
  <si>
    <t xml:space="preserve">24 months to raise a round; 7+ years to exit</t>
  </si>
  <si>
    <t xml:space="preserve">Li et al. (2014); Bertoni &amp; Groh (2014)</t>
  </si>
  <si>
    <t xml:space="preserve">Shorter window</t>
  </si>
  <si>
    <t xml:space="preserve">Unit of analysis</t>
  </si>
  <si>
    <t xml:space="preserve">Deal; startup; startup-investor pair</t>
  </si>
  <si>
    <t xml:space="preserve">Startup's first institutional round (one observation per startup)</t>
  </si>
  <si>
    <t xml:space="preserve">Matches first-round focus</t>
  </si>
  <si>
    <t xml:space="preserve">Li et al. (2014)</t>
  </si>
  <si>
    <t xml:space="preserve">Which round</t>
  </si>
  <si>
    <t xml:space="preserve">All rounds; first round; first institutional round</t>
  </si>
  <si>
    <t xml:space="preserve">First institutional VC round</t>
  </si>
  <si>
    <t xml:space="preserve">Path dependence; distance frictions appear at first investment (supervisor)</t>
  </si>
  <si>
    <t xml:space="preserve">Gompers (1995); Li et al. (2014); Milanov &amp; Shepherd (2013)</t>
  </si>
  <si>
    <t xml:space="preserve">Cross-border definition</t>
  </si>
  <si>
    <t xml:space="preserve">Any foreign investor; foreign lead</t>
  </si>
  <si>
    <t xml:space="preserve">Lead VC headquartered in a different European country than the startup</t>
  </si>
  <si>
    <t xml:space="preserve">Supervisor: lead VC is the foreign investor</t>
  </si>
  <si>
    <t xml:space="preserve">Li et al. (2014); Devigne et al. (2018)</t>
  </si>
  <si>
    <t xml:space="preserve">Any foreign VC in the round</t>
  </si>
  <si>
    <t xml:space="preserve">Lead investor identification</t>
  </si>
  <si>
    <t xml:space="preserve">Largest amount; first investor; most rounds</t>
  </si>
  <si>
    <t xml:space="preserve">Largest amount invested in the round</t>
  </si>
  <si>
    <t xml:space="preserve">Standard in VC research</t>
  </si>
  <si>
    <t xml:space="preserve">Nahata (2008)</t>
  </si>
  <si>
    <t xml:space="preserve">Investor in most subsequent rounds</t>
  </si>
  <si>
    <t xml:space="preserve">Investor types</t>
  </si>
  <si>
    <t xml:space="preserve">Independent VC only; all types</t>
  </si>
  <si>
    <t xml:space="preserve">All VC types, investor type as control</t>
  </si>
  <si>
    <t xml:space="preserve">Captive investors are common in Europe</t>
  </si>
  <si>
    <t xml:space="preserve">Bertoni et al. (2015)</t>
  </si>
  <si>
    <t xml:space="preserve">Independent VC only</t>
  </si>
  <si>
    <t xml:space="preserve">Sector scope</t>
  </si>
  <si>
    <t xml:space="preserve">Life sciences; high-tech; all sectors</t>
  </si>
  <si>
    <t xml:space="preserve">All sectors with industry fixed effects</t>
  </si>
  <si>
    <t xml:space="preserve">Generalizability; sample size</t>
  </si>
  <si>
    <t xml:space="preserve">Data</t>
  </si>
  <si>
    <t xml:space="preserve">Deal database</t>
  </si>
  <si>
    <t xml:space="preserve">LSEG; Dealroom; Crunchbase; PitchBook</t>
  </si>
  <si>
    <t xml:space="preserve">LSEG Workspace (VentureXpert)</t>
  </si>
  <si>
    <t xml:space="preserve">Available via library; used in close studies</t>
  </si>
  <si>
    <t xml:space="preserve">Northemann (2023); Retterath &amp; Braun (2020)</t>
  </si>
  <si>
    <t xml:space="preserve">Dealroom for validation</t>
  </si>
  <si>
    <t xml:space="preserve">Investor location</t>
  </si>
  <si>
    <t xml:space="preserve">HQ; investing office</t>
  </si>
  <si>
    <t xml:space="preserve">Headquarters; robustness: re-code multi-office VCs or control for local office</t>
  </si>
  <si>
    <t xml:space="preserve">Supervisor suggested HQ as default; robustness step makes it a 9</t>
  </si>
  <si>
    <t xml:space="preserve">Chen et al. (2010); Devigne et al. (2018)</t>
  </si>
  <si>
    <t xml:space="preserve">Supervisor suggestion</t>
  </si>
  <si>
    <t xml:space="preserve">Other data sources</t>
  </si>
  <si>
    <t xml:space="preserve">WGI; Hofstede; CEPII GeoDist; bilateral trade data; Eurobarometer trust (robustness)</t>
  </si>
  <si>
    <t xml:space="preserve">Standard sources for distance and pair measures</t>
  </si>
  <si>
    <t xml:space="preserve">Mayer &amp; Zignago (2011); Berry et al. (2010)</t>
  </si>
  <si>
    <t xml:space="preserve">Main outcome</t>
  </si>
  <si>
    <t xml:space="preserve">Follow-on round 24 / 36 months; exit success</t>
  </si>
  <si>
    <t xml:space="preserve">Follow-on round within 24 months (1/0)</t>
  </si>
  <si>
    <t xml:space="preserve">Supervisor; more recent deals usable; direct effect of first round</t>
  </si>
  <si>
    <t xml:space="preserve">Hochberg et al. (2007); Alexy et al. (2012); Devigne et al. (2016)</t>
  </si>
  <si>
    <t xml:space="preserve">36 months</t>
  </si>
  <si>
    <t xml:space="preserve">Insider-round robustness</t>
  </si>
  <si>
    <t xml:space="preserve">Follow-on round with at least one new investor</t>
  </si>
  <si>
    <t xml:space="preserve">Foreign lead may decide to follow on itself</t>
  </si>
  <si>
    <t xml:space="preserve">Devigne et al. (2016)</t>
  </si>
  <si>
    <t xml:space="preserve">Secondary outcomes</t>
  </si>
  <si>
    <t xml:space="preserve">Exit success (IPO/M&amp;A); time to exit (Cox)</t>
  </si>
  <si>
    <t xml:space="preserve">Comparability with prior work</t>
  </si>
  <si>
    <t xml:space="preserve">Li et al. (2014); Espenlaub et al. (2015)</t>
  </si>
  <si>
    <t xml:space="preserve">Independent variables</t>
  </si>
  <si>
    <t xml:space="preserve">Composite WGI; Mahalanobis; Scott pillars</t>
  </si>
  <si>
    <t xml:space="preserve">Mahalanobis on WGI regulatory quality, rule of law, government effectiveness; robustness: rule of law only</t>
  </si>
  <si>
    <t xml:space="preserve">Formal, codified rules; supervisor asked for precision on which institutions</t>
  </si>
  <si>
    <t xml:space="preserve">Berry et al. (2010); Mingo et al. (2018); Li et al. (2014)</t>
  </si>
  <si>
    <t xml:space="preserve">Cultural distance</t>
  </si>
  <si>
    <t xml:space="preserve">Hofstede; GLOBE</t>
  </si>
  <si>
    <t xml:space="preserve">Kogut &amp; Singh index on Hofstede; robustness: GLOBE</t>
  </si>
  <si>
    <t xml:space="preserve">Most used measure</t>
  </si>
  <si>
    <t xml:space="preserve">Kogut &amp; Singh (1988); Beugelsdijk et al. (2018)</t>
  </si>
  <si>
    <t xml:space="preserve">Control: ln km between capitals</t>
  </si>
  <si>
    <t xml:space="preserve">Short within Europe; overlaps with shared border</t>
  </si>
  <si>
    <t xml:space="preserve">Mingo et al. (2018); Mayer &amp; Zignago (2011)</t>
  </si>
  <si>
    <t xml:space="preserve">Shared language</t>
  </si>
  <si>
    <t xml:space="preserve">Official; spoken (9%)</t>
  </si>
  <si>
    <t xml:space="preserve">CEPII common official language; robustness: spoken language</t>
  </si>
  <si>
    <t xml:space="preserve">Lowers cost of information and trust; European bridge</t>
  </si>
  <si>
    <t xml:space="preserve">Grinblatt &amp; Keloharju (2001); Dow &amp; Karunaratna (2006)</t>
  </si>
  <si>
    <t xml:space="preserve">Country ties</t>
  </si>
  <si>
    <t xml:space="preserve">Trade intensity; trust; prior VC deals</t>
  </si>
  <si>
    <t xml:space="preserve">Bilateral trade intensity, 5-year average before the deal; robustness: prior VC deals between the pair; trust as control</t>
  </si>
  <si>
    <t xml:space="preserve">Familiarity with the other country's institutions; trust has selection issues (Bottazzi)</t>
  </si>
  <si>
    <t xml:space="preserve">Alvarez-Garrido &amp; Guler (2018); Portes &amp; Rey (2005); Guiso et al. (2009); Bottazzi et al. (2016)</t>
  </si>
  <si>
    <t xml:space="preserve">Share of investments; Herfindahl</t>
  </si>
  <si>
    <t xml:space="preserve">Lead VC's share of past-5-year investments in the startup's industry</t>
  </si>
  <si>
    <t xml:space="preserve">Portable industry knowledge changes the slope</t>
  </si>
  <si>
    <t xml:space="preserve">Li et al. (2014); Gompers et al. (2009); Matusik &amp; Fitza (2012)</t>
  </si>
  <si>
    <t xml:space="preserve">Controls</t>
  </si>
  <si>
    <t xml:space="preserve">Investor level</t>
  </si>
  <si>
    <t xml:space="preserve">International experience (+ x distance), reputation, VC age, investor type, local office</t>
  </si>
  <si>
    <t xml:space="preserve">From Counts tab</t>
  </si>
  <si>
    <t xml:space="preserve">Li et al. (2014); Nahata (2008)</t>
  </si>
  <si>
    <t xml:space="preserve">Deal level</t>
  </si>
  <si>
    <t xml:space="preserve">Round size, syndicate size, local co-investor</t>
  </si>
  <si>
    <t xml:space="preserve">Kim &amp; Park (2021); Tykvova &amp; Schertler (2014)</t>
  </si>
  <si>
    <t xml:space="preserve">Startup level</t>
  </si>
  <si>
    <t xml:space="preserve">Venture age at round, industry</t>
  </si>
  <si>
    <t xml:space="preserve">Country / pair level</t>
  </si>
  <si>
    <t xml:space="preserve">Shared border, geographic distance, host exit conditions, host VC volume, host institutional quality, bilateral trust</t>
  </si>
  <si>
    <t xml:space="preserve">From Counts tab; JRC (2026) ecosystems</t>
  </si>
  <si>
    <t xml:space="preserve">Bertoni &amp; Groh (2014); Dai &amp; Nahata (2016); Beugelsdijk et al. (2018)</t>
  </si>
  <si>
    <t xml:space="preserve">Fixed effects</t>
  </si>
  <si>
    <t xml:space="preserve">Year, industry, investor-country, host-country</t>
  </si>
  <si>
    <t xml:space="preserve">Standard</t>
  </si>
  <si>
    <t xml:space="preserve">Method</t>
  </si>
  <si>
    <t xml:space="preserve">Estimation model</t>
  </si>
  <si>
    <t xml:space="preserve">Logit; probit; LPM</t>
  </si>
  <si>
    <t xml:space="preserve">Logit; robustness probit and linear probability model</t>
  </si>
  <si>
    <t xml:space="preserve">Supervisor</t>
  </si>
  <si>
    <t xml:space="preserve">Hoetker (2007); Liu &amp; Maula (2021)</t>
  </si>
  <si>
    <t xml:space="preserve">Interactions</t>
  </si>
  <si>
    <t xml:space="preserve">Coefficients; marginal effects</t>
  </si>
  <si>
    <t xml:space="preserve">Marginal effects at low and high moderator values</t>
  </si>
  <si>
    <t xml:space="preserve">Logit interaction coefficients can mislead</t>
  </si>
  <si>
    <t xml:space="preserve">Ai &amp; Norton (2003); Hoetker (2007)</t>
  </si>
  <si>
    <t xml:space="preserve">Standard errors</t>
  </si>
  <si>
    <t xml:space="preserve">By VC; by country pair</t>
  </si>
  <si>
    <t xml:space="preserve">Clustered by lead VC</t>
  </si>
  <si>
    <t xml:space="preserve">Repeated deals by the same VC</t>
  </si>
  <si>
    <t xml:space="preserve">Check in L-tabs</t>
  </si>
  <si>
    <t xml:space="preserve">Country pair</t>
  </si>
  <si>
    <t xml:space="preserve">Selection</t>
  </si>
  <si>
    <t xml:space="preserve">None; Heckman</t>
  </si>
  <si>
    <t xml:space="preserve">Heckman if foreign-led deals differ systematically; first-stage variable to choose</t>
  </si>
  <si>
    <t xml:space="preserve">Distant investors may select better startups (Bottazzi et al., 2016)</t>
  </si>
  <si>
    <t xml:space="preserve">Certo et al. (2016); Wolfolds &amp; Siegel (2019)</t>
  </si>
  <si>
    <t xml:space="preserve">Discuss as limitation</t>
  </si>
  <si>
    <t xml:space="preserve">Robustness checks</t>
  </si>
  <si>
    <t xml:space="preserve">Office re-coding; 36-month window; new-investor rounds; rule of law only; GLOBE; exclude UK and largest investor country; exit outcomes</t>
  </si>
  <si>
    <t xml:space="preserve">Menu from L7</t>
  </si>
  <si>
    <t xml:space="preserve">Li et al. (2014); Liu &amp; Maula (2021)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</si>
</sst>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32.8" hidden="false" customHeight="false" outlineLevel="0" collapsed="false">
      <c r="A1" s="1" t="s">
        <v>0</v>
      </c>
    </row>
    <row r="2" customFormat="false" ht="35.0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</row>
    <row r="6" customFormat="false" ht="45" hidden="false" customHeight="true" outlineLevel="0" collapsed="false">
      <c r="A6" s="2" t="s">
        <v>5</v>
      </c>
      <c r="B6" s="2" t="s">
        <v>6</v>
      </c>
    </row>
    <row r="7" customFormat="false" ht="23.85" hidden="false" customHeight="false" outlineLevel="0" collapsed="false">
      <c r="A7" s="2" t="s">
        <v>7</v>
      </c>
      <c r="B7" s="2" t="s">
        <v>8</v>
      </c>
    </row>
    <row r="8" customFormat="false" ht="23.85" hidden="false" customHeight="false" outlineLevel="0" collapsed="false">
      <c r="A8" s="2" t="s">
        <v>9</v>
      </c>
      <c r="B8" s="2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2" t="s">
        <v>12</v>
      </c>
      <c r="B11" s="2" t="s">
        <v>13</v>
      </c>
    </row>
    <row r="12" customFormat="false" ht="15" hidden="false" customHeight="false" outlineLevel="0" collapsed="false">
      <c r="A12" s="2" t="s">
        <v>14</v>
      </c>
      <c r="B12" s="2" t="s">
        <v>15</v>
      </c>
    </row>
    <row r="13" customFormat="false" ht="15" hidden="false" customHeight="false" outlineLevel="0" collapsed="false">
      <c r="A13" s="2" t="s">
        <v>16</v>
      </c>
      <c r="B13" s="2" t="s">
        <v>17</v>
      </c>
    </row>
    <row r="14" customFormat="false" ht="15" hidden="false" customHeight="false" outlineLevel="0" collapsed="false">
      <c r="A14" s="2" t="s">
        <v>18</v>
      </c>
      <c r="B14" s="2" t="s">
        <v>19</v>
      </c>
    </row>
    <row r="15" customFormat="false" ht="23.85" hidden="false" customHeight="false" outlineLevel="0" collapsed="false">
      <c r="A15" s="2" t="s">
        <v>20</v>
      </c>
      <c r="B15" s="2" t="s">
        <v>21</v>
      </c>
    </row>
    <row r="16" customFormat="false" ht="23.85" hidden="false" customHeight="false" outlineLevel="0" collapsed="false">
      <c r="A16" s="2" t="s">
        <v>22</v>
      </c>
      <c r="B16" s="2" t="s">
        <v>23</v>
      </c>
    </row>
    <row r="17" customFormat="false" ht="23.85" hidden="false" customHeight="false" outlineLevel="0" collapsed="false">
      <c r="A17" s="2" t="s">
        <v>24</v>
      </c>
      <c r="B17" s="2" t="s">
        <v>25</v>
      </c>
    </row>
    <row r="19" customFormat="false" ht="15" hidden="false" customHeight="false" outlineLevel="0" collapsed="false">
      <c r="A19" s="3" t="s">
        <v>26</v>
      </c>
    </row>
    <row r="20" customFormat="false" ht="15" hidden="false" customHeight="false" outlineLevel="0" collapsed="false">
      <c r="A20" s="2" t="s">
        <v>27</v>
      </c>
      <c r="B20" s="2" t="s">
        <v>28</v>
      </c>
    </row>
    <row r="21" customFormat="false" ht="15" hidden="false" customHeight="false" outlineLevel="0" collapsed="false">
      <c r="A21" s="2" t="s">
        <v>29</v>
      </c>
      <c r="B21" s="2" t="s">
        <v>30</v>
      </c>
    </row>
    <row r="23" customFormat="false" ht="15" hidden="false" customHeight="false" outlineLevel="0" collapsed="false">
      <c r="A23" s="3" t="s">
        <v>31</v>
      </c>
    </row>
    <row r="24" customFormat="false" ht="23.85" hidden="false" customHeight="false" outlineLevel="0" collapsed="false">
      <c r="A24" s="2" t="s">
        <v>32</v>
      </c>
      <c r="B24" s="2" t="s">
        <v>33</v>
      </c>
    </row>
    <row r="25" customFormat="false" ht="15" hidden="false" customHeight="false" outlineLevel="0" collapsed="false">
      <c r="A25" s="2" t="s">
        <v>34</v>
      </c>
      <c r="B25" s="2" t="s">
        <v>35</v>
      </c>
    </row>
    <row r="26" customFormat="false" ht="15" hidden="false" customHeight="false" outlineLevel="0" collapsed="false">
      <c r="A26" s="2" t="s">
        <v>36</v>
      </c>
      <c r="B26" s="2" t="s">
        <v>37</v>
      </c>
    </row>
    <row r="27" customFormat="false" ht="15" hidden="false" customHeight="false" outlineLevel="0" collapsed="false">
      <c r="A27" s="2" t="s">
        <v>38</v>
      </c>
      <c r="B27" s="2" t="s">
        <v>39</v>
      </c>
    </row>
    <row r="29" customFormat="false" ht="15" hidden="false" customHeight="false" outlineLevel="0" collapsed="false">
      <c r="A29" s="3" t="s">
        <v>40</v>
      </c>
    </row>
    <row r="30" customFormat="false" ht="15" hidden="false" customHeight="false" outlineLevel="0" collapsed="false">
      <c r="A30" s="2" t="s">
        <v>41</v>
      </c>
      <c r="B30" s="2" t="s">
        <v>42</v>
      </c>
    </row>
    <row r="31" customFormat="false" ht="15" hidden="false" customHeight="false" outlineLevel="0" collapsed="false">
      <c r="A31" s="2" t="s">
        <v>43</v>
      </c>
      <c r="B31" s="2" t="s">
        <v>44</v>
      </c>
    </row>
    <row r="32" customFormat="false" ht="23.85" hidden="false" customHeight="false" outlineLevel="0" collapsed="false">
      <c r="A32" s="2" t="s">
        <v>45</v>
      </c>
      <c r="B32" s="2" t="s">
        <v>46</v>
      </c>
    </row>
    <row r="33" customFormat="false" ht="15" hidden="false" customHeight="false" outlineLevel="0" collapsed="false">
      <c r="A33" s="2" t="s">
        <v>47</v>
      </c>
      <c r="B33" s="2" t="s">
        <v>48</v>
      </c>
    </row>
    <row r="34" customFormat="false" ht="15" hidden="false" customHeight="false" outlineLevel="0" collapsed="false">
      <c r="A34" s="2" t="s">
        <v>49</v>
      </c>
      <c r="B34" s="2" t="s">
        <v>50</v>
      </c>
    </row>
    <row r="35" customFormat="false" ht="15" hidden="false" customHeight="false" outlineLevel="0" collapsed="false">
      <c r="A35" s="2" t="s">
        <v>51</v>
      </c>
      <c r="B35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62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60"/>
    <col collapsed="false" customWidth="true" hidden="false" outlineLevel="0" max="11" min="11" style="0" width="30"/>
    <col collapsed="false" customWidth="true" hidden="false" outlineLevel="0" max="12" min="12" style="0" width="12"/>
    <col collapsed="false" customWidth="true" hidden="false" outlineLevel="0" max="13" min="13" style="0" width="26"/>
  </cols>
  <sheetData>
    <row r="1" customFormat="false" ht="17.35" hidden="false" customHeight="false" outlineLevel="0" collapsed="false">
      <c r="A1" s="4" t="s">
        <v>53</v>
      </c>
    </row>
    <row r="2" customFormat="false" ht="15" hidden="false" customHeight="false" outlineLevel="0" collapsed="false">
      <c r="A2" s="5" t="s">
        <v>54</v>
      </c>
    </row>
    <row r="3" customFormat="false" ht="15" hidden="false" customHeight="false" outlineLevel="0" collapsed="false">
      <c r="B3" s="6" t="s">
        <v>55</v>
      </c>
      <c r="C3" s="7" t="n">
        <f aca="false">COUNTA(D6:D300)</f>
        <v>108</v>
      </c>
      <c r="D3" s="6" t="s">
        <v>56</v>
      </c>
      <c r="E3" s="7" t="n">
        <f aca="false">COUNTIF(L6:L300,"Checked")+COUNTIF(L6:L300,"Done")</f>
        <v>0</v>
      </c>
      <c r="F3" s="6" t="s">
        <v>57</v>
      </c>
      <c r="G3" s="7" t="n">
        <f aca="false">COUNTIF(L6:L300,"To find")</f>
        <v>50</v>
      </c>
      <c r="H3" s="6" t="s">
        <v>58</v>
      </c>
      <c r="I3" s="7" t="n">
        <f aca="false">COUNTIFS(C6:C300,"Must",L6:L300,"&lt;&gt;Done",L6:L300,"&lt;&gt;Checked")</f>
        <v>84</v>
      </c>
    </row>
    <row r="4" customFormat="false" ht="15" hidden="false" customHeight="false" outlineLevel="0" collapsed="false">
      <c r="B4" s="8" t="s">
        <v>59</v>
      </c>
    </row>
    <row r="5" customFormat="false" ht="30" hidden="false" customHeight="true" outlineLevel="0" collapsed="false">
      <c r="A5" s="9" t="s">
        <v>60</v>
      </c>
      <c r="B5" s="9" t="s">
        <v>61</v>
      </c>
      <c r="C5" s="9" t="s">
        <v>62</v>
      </c>
      <c r="D5" s="9" t="s">
        <v>63</v>
      </c>
      <c r="E5" s="9" t="s">
        <v>64</v>
      </c>
      <c r="F5" s="9" t="s">
        <v>65</v>
      </c>
      <c r="G5" s="9" t="s">
        <v>5</v>
      </c>
      <c r="H5" s="9" t="s">
        <v>66</v>
      </c>
      <c r="I5" s="9" t="s">
        <v>67</v>
      </c>
      <c r="J5" s="9" t="s">
        <v>68</v>
      </c>
      <c r="K5" s="9" t="s">
        <v>69</v>
      </c>
      <c r="L5" s="9" t="s">
        <v>70</v>
      </c>
      <c r="M5" s="9" t="s">
        <v>18</v>
      </c>
    </row>
    <row r="6" customFormat="false" ht="35.05" hidden="false" customHeight="false" outlineLevel="0" collapsed="false">
      <c r="A6" s="10" t="n">
        <v>1</v>
      </c>
      <c r="B6" s="10" t="s">
        <v>41</v>
      </c>
      <c r="C6" s="10" t="s">
        <v>71</v>
      </c>
      <c r="D6" s="10" t="s">
        <v>72</v>
      </c>
      <c r="E6" s="10" t="s">
        <v>73</v>
      </c>
      <c r="F6" s="10" t="s">
        <v>74</v>
      </c>
      <c r="G6" s="10" t="s">
        <v>75</v>
      </c>
      <c r="H6" s="10" t="str">
        <f aca="false">IF(G6="Deep","Master prompt",IF(G6="Targeted","Section prompt",IF(G6="Cite only","Claim-check prompt","")))</f>
        <v>Master prompt</v>
      </c>
      <c r="I6" s="10" t="s">
        <v>76</v>
      </c>
      <c r="J6" s="11" t="s">
        <v>77</v>
      </c>
      <c r="K6" s="10" t="s">
        <v>78</v>
      </c>
      <c r="L6" s="11" t="s">
        <v>79</v>
      </c>
      <c r="M6" s="11"/>
    </row>
    <row r="7" customFormat="false" ht="46.25" hidden="false" customHeight="false" outlineLevel="0" collapsed="false">
      <c r="A7" s="10" t="n">
        <v>2</v>
      </c>
      <c r="B7" s="10" t="s">
        <v>41</v>
      </c>
      <c r="C7" s="10" t="s">
        <v>71</v>
      </c>
      <c r="D7" s="10" t="s">
        <v>80</v>
      </c>
      <c r="E7" s="10" t="s">
        <v>81</v>
      </c>
      <c r="F7" s="10" t="s">
        <v>82</v>
      </c>
      <c r="G7" s="10" t="s">
        <v>75</v>
      </c>
      <c r="H7" s="10" t="str">
        <f aca="false">IF(G7="Deep","Master prompt",IF(G7="Targeted","Section prompt",IF(G7="Cite only","Claim-check prompt","")))</f>
        <v>Master prompt</v>
      </c>
      <c r="I7" s="10" t="s">
        <v>83</v>
      </c>
      <c r="J7" s="11" t="s">
        <v>84</v>
      </c>
      <c r="K7" s="10" t="s">
        <v>85</v>
      </c>
      <c r="L7" s="11" t="s">
        <v>79</v>
      </c>
      <c r="M7" s="11"/>
    </row>
    <row r="8" customFormat="false" ht="35.05" hidden="false" customHeight="false" outlineLevel="0" collapsed="false">
      <c r="A8" s="10" t="n">
        <v>3</v>
      </c>
      <c r="B8" s="10" t="s">
        <v>41</v>
      </c>
      <c r="C8" s="10" t="s">
        <v>71</v>
      </c>
      <c r="D8" s="10" t="s">
        <v>86</v>
      </c>
      <c r="E8" s="10" t="s">
        <v>87</v>
      </c>
      <c r="F8" s="10" t="s">
        <v>88</v>
      </c>
      <c r="G8" s="10" t="s">
        <v>75</v>
      </c>
      <c r="H8" s="10" t="str">
        <f aca="false">IF(G8="Deep","Master prompt",IF(G8="Targeted","Section prompt",IF(G8="Cite only","Claim-check prompt","")))</f>
        <v>Master prompt</v>
      </c>
      <c r="I8" s="10" t="s">
        <v>89</v>
      </c>
      <c r="J8" s="11" t="s">
        <v>90</v>
      </c>
      <c r="K8" s="10" t="s">
        <v>91</v>
      </c>
      <c r="L8" s="11" t="s">
        <v>79</v>
      </c>
      <c r="M8" s="11"/>
    </row>
    <row r="9" customFormat="false" ht="35.05" hidden="false" customHeight="false" outlineLevel="0" collapsed="false">
      <c r="A9" s="10" t="n">
        <v>4</v>
      </c>
      <c r="B9" s="10" t="s">
        <v>41</v>
      </c>
      <c r="C9" s="10" t="s">
        <v>71</v>
      </c>
      <c r="D9" s="10" t="s">
        <v>92</v>
      </c>
      <c r="E9" s="10" t="s">
        <v>93</v>
      </c>
      <c r="F9" s="10" t="s">
        <v>94</v>
      </c>
      <c r="G9" s="10" t="s">
        <v>75</v>
      </c>
      <c r="H9" s="10" t="str">
        <f aca="false">IF(G9="Deep","Master prompt",IF(G9="Targeted","Section prompt",IF(G9="Cite only","Claim-check prompt","")))</f>
        <v>Master prompt</v>
      </c>
      <c r="I9" s="10" t="s">
        <v>95</v>
      </c>
      <c r="J9" s="11" t="s">
        <v>96</v>
      </c>
      <c r="K9" s="10" t="s">
        <v>97</v>
      </c>
      <c r="L9" s="11" t="s">
        <v>94</v>
      </c>
      <c r="M9" s="11"/>
    </row>
    <row r="10" customFormat="false" ht="46.25" hidden="false" customHeight="false" outlineLevel="0" collapsed="false">
      <c r="A10" s="10" t="n">
        <v>5</v>
      </c>
      <c r="B10" s="10" t="s">
        <v>41</v>
      </c>
      <c r="C10" s="10" t="s">
        <v>71</v>
      </c>
      <c r="D10" s="10" t="s">
        <v>98</v>
      </c>
      <c r="E10" s="10" t="s">
        <v>93</v>
      </c>
      <c r="F10" s="10" t="s">
        <v>94</v>
      </c>
      <c r="G10" s="10" t="s">
        <v>75</v>
      </c>
      <c r="H10" s="10" t="str">
        <f aca="false">IF(G10="Deep","Master prompt",IF(G10="Targeted","Section prompt",IF(G10="Cite only","Claim-check prompt","")))</f>
        <v>Master prompt</v>
      </c>
      <c r="I10" s="10" t="s">
        <v>99</v>
      </c>
      <c r="J10" s="11" t="s">
        <v>100</v>
      </c>
      <c r="K10" s="10" t="s">
        <v>101</v>
      </c>
      <c r="L10" s="11" t="s">
        <v>94</v>
      </c>
      <c r="M10" s="11"/>
    </row>
    <row r="11" customFormat="false" ht="35.05" hidden="false" customHeight="false" outlineLevel="0" collapsed="false">
      <c r="A11" s="10" t="n">
        <v>6</v>
      </c>
      <c r="B11" s="10" t="s">
        <v>41</v>
      </c>
      <c r="C11" s="10" t="s">
        <v>71</v>
      </c>
      <c r="D11" s="10" t="s">
        <v>102</v>
      </c>
      <c r="E11" s="10" t="s">
        <v>93</v>
      </c>
      <c r="F11" s="10" t="s">
        <v>94</v>
      </c>
      <c r="G11" s="10" t="s">
        <v>75</v>
      </c>
      <c r="H11" s="10" t="str">
        <f aca="false">IF(G11="Deep","Master prompt",IF(G11="Targeted","Section prompt",IF(G11="Cite only","Claim-check prompt","")))</f>
        <v>Master prompt</v>
      </c>
      <c r="I11" s="10" t="s">
        <v>99</v>
      </c>
      <c r="J11" s="11" t="s">
        <v>103</v>
      </c>
      <c r="K11" s="10" t="s">
        <v>104</v>
      </c>
      <c r="L11" s="11" t="s">
        <v>94</v>
      </c>
      <c r="M11" s="11"/>
    </row>
    <row r="12" customFormat="false" ht="35.05" hidden="false" customHeight="false" outlineLevel="0" collapsed="false">
      <c r="A12" s="10" t="n">
        <v>7</v>
      </c>
      <c r="B12" s="10" t="s">
        <v>43</v>
      </c>
      <c r="C12" s="10" t="s">
        <v>71</v>
      </c>
      <c r="D12" s="10" t="s">
        <v>105</v>
      </c>
      <c r="E12" s="10" t="s">
        <v>106</v>
      </c>
      <c r="F12" s="10" t="s">
        <v>107</v>
      </c>
      <c r="G12" s="10" t="s">
        <v>75</v>
      </c>
      <c r="H12" s="10" t="str">
        <f aca="false">IF(G12="Deep","Master prompt",IF(G12="Targeted","Section prompt",IF(G12="Cite only","Claim-check prompt","")))</f>
        <v>Master prompt</v>
      </c>
      <c r="I12" s="10" t="s">
        <v>108</v>
      </c>
      <c r="J12" s="11" t="s">
        <v>109</v>
      </c>
      <c r="K12" s="10" t="s">
        <v>110</v>
      </c>
      <c r="L12" s="11" t="s">
        <v>79</v>
      </c>
      <c r="M12" s="11"/>
    </row>
    <row r="13" customFormat="false" ht="23.85" hidden="false" customHeight="false" outlineLevel="0" collapsed="false">
      <c r="A13" s="10" t="n">
        <v>8</v>
      </c>
      <c r="B13" s="10" t="s">
        <v>43</v>
      </c>
      <c r="C13" s="10" t="s">
        <v>71</v>
      </c>
      <c r="D13" s="10" t="s">
        <v>111</v>
      </c>
      <c r="E13" s="10" t="s">
        <v>112</v>
      </c>
      <c r="F13" s="10" t="s">
        <v>113</v>
      </c>
      <c r="G13" s="10" t="s">
        <v>75</v>
      </c>
      <c r="H13" s="10" t="str">
        <f aca="false">IF(G13="Deep","Master prompt",IF(G13="Targeted","Section prompt",IF(G13="Cite only","Claim-check prompt","")))</f>
        <v>Master prompt</v>
      </c>
      <c r="I13" s="10" t="s">
        <v>114</v>
      </c>
      <c r="J13" s="11" t="s">
        <v>115</v>
      </c>
      <c r="K13" s="10" t="s">
        <v>110</v>
      </c>
      <c r="L13" s="11" t="s">
        <v>79</v>
      </c>
      <c r="M13" s="11"/>
    </row>
    <row r="14" customFormat="false" ht="35.05" hidden="false" customHeight="false" outlineLevel="0" collapsed="false">
      <c r="A14" s="10" t="n">
        <v>9</v>
      </c>
      <c r="B14" s="10" t="s">
        <v>43</v>
      </c>
      <c r="C14" s="10" t="s">
        <v>71</v>
      </c>
      <c r="D14" s="10" t="s">
        <v>116</v>
      </c>
      <c r="E14" s="10" t="s">
        <v>93</v>
      </c>
      <c r="F14" s="10" t="s">
        <v>94</v>
      </c>
      <c r="G14" s="10" t="s">
        <v>75</v>
      </c>
      <c r="H14" s="10" t="str">
        <f aca="false">IF(G14="Deep","Master prompt",IF(G14="Targeted","Section prompt",IF(G14="Cite only","Claim-check prompt","")))</f>
        <v>Master prompt</v>
      </c>
      <c r="I14" s="10" t="s">
        <v>117</v>
      </c>
      <c r="J14" s="11" t="s">
        <v>118</v>
      </c>
      <c r="K14" s="10" t="s">
        <v>110</v>
      </c>
      <c r="L14" s="11" t="s">
        <v>94</v>
      </c>
      <c r="M14" s="11"/>
    </row>
    <row r="15" customFormat="false" ht="35.05" hidden="false" customHeight="false" outlineLevel="0" collapsed="false">
      <c r="A15" s="10" t="n">
        <v>10</v>
      </c>
      <c r="B15" s="10" t="s">
        <v>43</v>
      </c>
      <c r="C15" s="10" t="s">
        <v>71</v>
      </c>
      <c r="D15" s="10" t="s">
        <v>119</v>
      </c>
      <c r="E15" s="10" t="s">
        <v>93</v>
      </c>
      <c r="F15" s="10" t="s">
        <v>94</v>
      </c>
      <c r="G15" s="10" t="s">
        <v>75</v>
      </c>
      <c r="H15" s="10" t="str">
        <f aca="false">IF(G15="Deep","Master prompt",IF(G15="Targeted","Section prompt",IF(G15="Cite only","Claim-check prompt","")))</f>
        <v>Master prompt</v>
      </c>
      <c r="I15" s="10" t="s">
        <v>117</v>
      </c>
      <c r="J15" s="11" t="s">
        <v>120</v>
      </c>
      <c r="K15" s="10" t="s">
        <v>110</v>
      </c>
      <c r="L15" s="11" t="s">
        <v>94</v>
      </c>
      <c r="M15" s="11"/>
    </row>
    <row r="16" customFormat="false" ht="35.05" hidden="false" customHeight="false" outlineLevel="0" collapsed="false">
      <c r="A16" s="10" t="n">
        <v>11</v>
      </c>
      <c r="B16" s="10" t="s">
        <v>43</v>
      </c>
      <c r="C16" s="10" t="s">
        <v>71</v>
      </c>
      <c r="D16" s="10" t="s">
        <v>121</v>
      </c>
      <c r="E16" s="10" t="s">
        <v>122</v>
      </c>
      <c r="F16" s="10" t="s">
        <v>123</v>
      </c>
      <c r="G16" s="10" t="s">
        <v>75</v>
      </c>
      <c r="H16" s="10" t="str">
        <f aca="false">IF(G16="Deep","Master prompt",IF(G16="Targeted","Section prompt",IF(G16="Cite only","Claim-check prompt","")))</f>
        <v>Master prompt</v>
      </c>
      <c r="I16" s="10" t="s">
        <v>117</v>
      </c>
      <c r="J16" s="11" t="s">
        <v>124</v>
      </c>
      <c r="K16" s="10" t="s">
        <v>110</v>
      </c>
      <c r="L16" s="11" t="s">
        <v>79</v>
      </c>
      <c r="M16" s="11"/>
    </row>
    <row r="17" customFormat="false" ht="46.25" hidden="false" customHeight="false" outlineLevel="0" collapsed="false">
      <c r="A17" s="10" t="n">
        <v>12</v>
      </c>
      <c r="B17" s="10" t="s">
        <v>43</v>
      </c>
      <c r="C17" s="10" t="s">
        <v>71</v>
      </c>
      <c r="D17" s="10" t="s">
        <v>125</v>
      </c>
      <c r="E17" s="10" t="s">
        <v>93</v>
      </c>
      <c r="F17" s="10" t="s">
        <v>94</v>
      </c>
      <c r="G17" s="10" t="s">
        <v>75</v>
      </c>
      <c r="H17" s="10" t="str">
        <f aca="false">IF(G17="Deep","Master prompt",IF(G17="Targeted","Section prompt",IF(G17="Cite only","Claim-check prompt","")))</f>
        <v>Master prompt</v>
      </c>
      <c r="I17" s="10" t="s">
        <v>117</v>
      </c>
      <c r="J17" s="11" t="s">
        <v>126</v>
      </c>
      <c r="K17" s="10" t="s">
        <v>110</v>
      </c>
      <c r="L17" s="11" t="s">
        <v>94</v>
      </c>
      <c r="M17" s="11"/>
    </row>
    <row r="18" customFormat="false" ht="35.05" hidden="false" customHeight="false" outlineLevel="0" collapsed="false">
      <c r="A18" s="10" t="n">
        <v>13</v>
      </c>
      <c r="B18" s="10" t="s">
        <v>43</v>
      </c>
      <c r="C18" s="10" t="s">
        <v>71</v>
      </c>
      <c r="D18" s="10" t="s">
        <v>127</v>
      </c>
      <c r="E18" s="10" t="s">
        <v>128</v>
      </c>
      <c r="F18" s="10" t="s">
        <v>129</v>
      </c>
      <c r="G18" s="10" t="s">
        <v>75</v>
      </c>
      <c r="H18" s="10" t="str">
        <f aca="false">IF(G18="Deep","Master prompt",IF(G18="Targeted","Section prompt",IF(G18="Cite only","Claim-check prompt","")))</f>
        <v>Master prompt</v>
      </c>
      <c r="I18" s="10" t="s">
        <v>130</v>
      </c>
      <c r="J18" s="11" t="s">
        <v>131</v>
      </c>
      <c r="K18" s="10" t="s">
        <v>132</v>
      </c>
      <c r="L18" s="11" t="s">
        <v>79</v>
      </c>
      <c r="M18" s="11"/>
    </row>
    <row r="19" customFormat="false" ht="35.05" hidden="false" customHeight="false" outlineLevel="0" collapsed="false">
      <c r="A19" s="10" t="n">
        <v>14</v>
      </c>
      <c r="B19" s="10" t="s">
        <v>43</v>
      </c>
      <c r="C19" s="10" t="s">
        <v>71</v>
      </c>
      <c r="D19" s="10" t="s">
        <v>133</v>
      </c>
      <c r="E19" s="10" t="s">
        <v>134</v>
      </c>
      <c r="F19" s="10" t="s">
        <v>135</v>
      </c>
      <c r="G19" s="10" t="s">
        <v>75</v>
      </c>
      <c r="H19" s="10" t="str">
        <f aca="false">IF(G19="Deep","Master prompt",IF(G19="Targeted","Section prompt",IF(G19="Cite only","Claim-check prompt","")))</f>
        <v>Master prompt</v>
      </c>
      <c r="I19" s="10" t="s">
        <v>136</v>
      </c>
      <c r="J19" s="11" t="s">
        <v>137</v>
      </c>
      <c r="K19" s="10" t="s">
        <v>132</v>
      </c>
      <c r="L19" s="11" t="s">
        <v>79</v>
      </c>
      <c r="M19" s="11"/>
    </row>
    <row r="20" customFormat="false" ht="35.05" hidden="false" customHeight="false" outlineLevel="0" collapsed="false">
      <c r="A20" s="10" t="n">
        <v>15</v>
      </c>
      <c r="B20" s="10" t="s">
        <v>43</v>
      </c>
      <c r="C20" s="10" t="s">
        <v>71</v>
      </c>
      <c r="D20" s="10" t="s">
        <v>138</v>
      </c>
      <c r="E20" s="10" t="s">
        <v>139</v>
      </c>
      <c r="F20" s="10" t="s">
        <v>140</v>
      </c>
      <c r="G20" s="10" t="s">
        <v>75</v>
      </c>
      <c r="H20" s="10" t="str">
        <f aca="false">IF(G20="Deep","Master prompt",IF(G20="Targeted","Section prompt",IF(G20="Cite only","Claim-check prompt","")))</f>
        <v>Master prompt</v>
      </c>
      <c r="I20" s="10" t="s">
        <v>136</v>
      </c>
      <c r="J20" s="11" t="s">
        <v>141</v>
      </c>
      <c r="K20" s="10" t="s">
        <v>142</v>
      </c>
      <c r="L20" s="11" t="s">
        <v>79</v>
      </c>
      <c r="M20" s="11"/>
    </row>
    <row r="21" customFormat="false" ht="35.05" hidden="false" customHeight="false" outlineLevel="0" collapsed="false">
      <c r="A21" s="10" t="n">
        <v>16</v>
      </c>
      <c r="B21" s="10" t="s">
        <v>45</v>
      </c>
      <c r="C21" s="10" t="s">
        <v>71</v>
      </c>
      <c r="D21" s="10" t="s">
        <v>143</v>
      </c>
      <c r="E21" s="10" t="s">
        <v>93</v>
      </c>
      <c r="F21" s="10" t="s">
        <v>94</v>
      </c>
      <c r="G21" s="10" t="s">
        <v>75</v>
      </c>
      <c r="H21" s="10" t="str">
        <f aca="false">IF(G21="Deep","Master prompt",IF(G21="Targeted","Section prompt",IF(G21="Cite only","Claim-check prompt","")))</f>
        <v>Master prompt</v>
      </c>
      <c r="I21" s="10" t="s">
        <v>76</v>
      </c>
      <c r="J21" s="11" t="s">
        <v>144</v>
      </c>
      <c r="K21" s="10" t="s">
        <v>132</v>
      </c>
      <c r="L21" s="11" t="s">
        <v>94</v>
      </c>
      <c r="M21" s="11"/>
    </row>
    <row r="22" customFormat="false" ht="23.85" hidden="false" customHeight="false" outlineLevel="0" collapsed="false">
      <c r="A22" s="10" t="n">
        <v>17</v>
      </c>
      <c r="B22" s="10" t="s">
        <v>45</v>
      </c>
      <c r="C22" s="10" t="s">
        <v>71</v>
      </c>
      <c r="D22" s="10" t="s">
        <v>145</v>
      </c>
      <c r="E22" s="10" t="s">
        <v>146</v>
      </c>
      <c r="F22" s="10" t="s">
        <v>147</v>
      </c>
      <c r="G22" s="10" t="s">
        <v>75</v>
      </c>
      <c r="H22" s="10" t="str">
        <f aca="false">IF(G22="Deep","Master prompt",IF(G22="Targeted","Section prompt",IF(G22="Cite only","Claim-check prompt","")))</f>
        <v>Master prompt</v>
      </c>
      <c r="I22" s="10" t="s">
        <v>130</v>
      </c>
      <c r="J22" s="11" t="s">
        <v>148</v>
      </c>
      <c r="K22" s="10" t="s">
        <v>132</v>
      </c>
      <c r="L22" s="11" t="s">
        <v>79</v>
      </c>
      <c r="M22" s="11"/>
    </row>
    <row r="23" customFormat="false" ht="46.25" hidden="false" customHeight="false" outlineLevel="0" collapsed="false">
      <c r="A23" s="10" t="n">
        <v>18</v>
      </c>
      <c r="B23" s="10" t="s">
        <v>45</v>
      </c>
      <c r="C23" s="10" t="s">
        <v>71</v>
      </c>
      <c r="D23" s="10" t="s">
        <v>149</v>
      </c>
      <c r="E23" s="10" t="s">
        <v>150</v>
      </c>
      <c r="F23" s="10" t="s">
        <v>151</v>
      </c>
      <c r="G23" s="10" t="s">
        <v>75</v>
      </c>
      <c r="H23" s="10" t="str">
        <f aca="false">IF(G23="Deep","Master prompt",IF(G23="Targeted","Section prompt",IF(G23="Cite only","Claim-check prompt","")))</f>
        <v>Master prompt</v>
      </c>
      <c r="I23" s="10" t="s">
        <v>152</v>
      </c>
      <c r="J23" s="11" t="s">
        <v>153</v>
      </c>
      <c r="K23" s="10" t="s">
        <v>132</v>
      </c>
      <c r="L23" s="11" t="s">
        <v>79</v>
      </c>
      <c r="M23" s="11"/>
    </row>
    <row r="24" customFormat="false" ht="35.05" hidden="false" customHeight="false" outlineLevel="0" collapsed="false">
      <c r="A24" s="10" t="n">
        <v>19</v>
      </c>
      <c r="B24" s="10" t="s">
        <v>45</v>
      </c>
      <c r="C24" s="10" t="s">
        <v>71</v>
      </c>
      <c r="D24" s="10" t="s">
        <v>154</v>
      </c>
      <c r="E24" s="10" t="s">
        <v>155</v>
      </c>
      <c r="F24" s="10" t="s">
        <v>156</v>
      </c>
      <c r="G24" s="10" t="s">
        <v>75</v>
      </c>
      <c r="H24" s="10" t="str">
        <f aca="false">IF(G24="Deep","Master prompt",IF(G24="Targeted","Section prompt",IF(G24="Cite only","Claim-check prompt","")))</f>
        <v>Master prompt</v>
      </c>
      <c r="I24" s="10" t="s">
        <v>157</v>
      </c>
      <c r="J24" s="11" t="s">
        <v>158</v>
      </c>
      <c r="K24" s="10" t="s">
        <v>159</v>
      </c>
      <c r="L24" s="11" t="s">
        <v>79</v>
      </c>
      <c r="M24" s="11"/>
    </row>
    <row r="25" customFormat="false" ht="35.05" hidden="false" customHeight="false" outlineLevel="0" collapsed="false">
      <c r="A25" s="10" t="n">
        <v>20</v>
      </c>
      <c r="B25" s="10" t="s">
        <v>45</v>
      </c>
      <c r="C25" s="10" t="s">
        <v>71</v>
      </c>
      <c r="D25" s="10" t="s">
        <v>160</v>
      </c>
      <c r="E25" s="10" t="s">
        <v>161</v>
      </c>
      <c r="F25" s="10" t="s">
        <v>162</v>
      </c>
      <c r="G25" s="10" t="s">
        <v>75</v>
      </c>
      <c r="H25" s="10" t="str">
        <f aca="false">IF(G25="Deep","Master prompt",IF(G25="Targeted","Section prompt",IF(G25="Cite only","Claim-check prompt","")))</f>
        <v>Master prompt</v>
      </c>
      <c r="I25" s="10" t="s">
        <v>152</v>
      </c>
      <c r="J25" s="11" t="s">
        <v>163</v>
      </c>
      <c r="K25" s="10" t="s">
        <v>132</v>
      </c>
      <c r="L25" s="11" t="s">
        <v>79</v>
      </c>
      <c r="M25" s="11"/>
    </row>
    <row r="26" customFormat="false" ht="35.05" hidden="false" customHeight="false" outlineLevel="0" collapsed="false">
      <c r="A26" s="10" t="n">
        <v>21</v>
      </c>
      <c r="B26" s="10" t="s">
        <v>45</v>
      </c>
      <c r="C26" s="10" t="s">
        <v>71</v>
      </c>
      <c r="D26" s="10" t="s">
        <v>164</v>
      </c>
      <c r="E26" s="10" t="s">
        <v>165</v>
      </c>
      <c r="F26" s="10" t="s">
        <v>166</v>
      </c>
      <c r="G26" s="10" t="s">
        <v>75</v>
      </c>
      <c r="H26" s="10" t="str">
        <f aca="false">IF(G26="Deep","Master prompt",IF(G26="Targeted","Section prompt",IF(G26="Cite only","Claim-check prompt","")))</f>
        <v>Master prompt</v>
      </c>
      <c r="I26" s="10" t="s">
        <v>167</v>
      </c>
      <c r="J26" s="11" t="s">
        <v>168</v>
      </c>
      <c r="K26" s="10" t="s">
        <v>132</v>
      </c>
      <c r="L26" s="11" t="s">
        <v>79</v>
      </c>
      <c r="M26" s="11"/>
    </row>
    <row r="27" customFormat="false" ht="23.85" hidden="false" customHeight="false" outlineLevel="0" collapsed="false">
      <c r="A27" s="10" t="n">
        <v>22</v>
      </c>
      <c r="B27" s="10" t="s">
        <v>45</v>
      </c>
      <c r="C27" s="10" t="s">
        <v>71</v>
      </c>
      <c r="D27" s="10" t="s">
        <v>169</v>
      </c>
      <c r="E27" s="10" t="s">
        <v>170</v>
      </c>
      <c r="F27" s="10" t="s">
        <v>171</v>
      </c>
      <c r="G27" s="10" t="s">
        <v>75</v>
      </c>
      <c r="H27" s="10" t="str">
        <f aca="false">IF(G27="Deep","Master prompt",IF(G27="Targeted","Section prompt",IF(G27="Cite only","Claim-check prompt","")))</f>
        <v>Master prompt</v>
      </c>
      <c r="I27" s="10" t="s">
        <v>172</v>
      </c>
      <c r="J27" s="11" t="s">
        <v>173</v>
      </c>
      <c r="K27" s="10" t="s">
        <v>132</v>
      </c>
      <c r="L27" s="11" t="s">
        <v>79</v>
      </c>
      <c r="M27" s="11"/>
    </row>
    <row r="28" customFormat="false" ht="35.05" hidden="false" customHeight="false" outlineLevel="0" collapsed="false">
      <c r="A28" s="10" t="n">
        <v>23</v>
      </c>
      <c r="B28" s="10" t="s">
        <v>45</v>
      </c>
      <c r="C28" s="10" t="s">
        <v>174</v>
      </c>
      <c r="D28" s="10" t="s">
        <v>175</v>
      </c>
      <c r="E28" s="10" t="s">
        <v>176</v>
      </c>
      <c r="F28" s="10" t="s">
        <v>177</v>
      </c>
      <c r="G28" s="10" t="s">
        <v>75</v>
      </c>
      <c r="H28" s="10" t="str">
        <f aca="false">IF(G28="Deep","Master prompt",IF(G28="Targeted","Section prompt",IF(G28="Cite only","Claim-check prompt","")))</f>
        <v>Master prompt</v>
      </c>
      <c r="I28" s="10" t="s">
        <v>172</v>
      </c>
      <c r="J28" s="11" t="s">
        <v>178</v>
      </c>
      <c r="K28" s="10" t="s">
        <v>132</v>
      </c>
      <c r="L28" s="11" t="s">
        <v>79</v>
      </c>
      <c r="M28" s="11"/>
    </row>
    <row r="29" customFormat="false" ht="35.05" hidden="false" customHeight="false" outlineLevel="0" collapsed="false">
      <c r="A29" s="10" t="n">
        <v>24</v>
      </c>
      <c r="B29" s="10" t="s">
        <v>45</v>
      </c>
      <c r="C29" s="10" t="s">
        <v>174</v>
      </c>
      <c r="D29" s="10" t="s">
        <v>179</v>
      </c>
      <c r="E29" s="10" t="s">
        <v>180</v>
      </c>
      <c r="F29" s="10" t="s">
        <v>181</v>
      </c>
      <c r="G29" s="10" t="s">
        <v>75</v>
      </c>
      <c r="H29" s="10" t="str">
        <f aca="false">IF(G29="Deep","Master prompt",IF(G29="Targeted","Section prompt",IF(G29="Cite only","Claim-check prompt","")))</f>
        <v>Master prompt</v>
      </c>
      <c r="I29" s="10" t="s">
        <v>167</v>
      </c>
      <c r="J29" s="11" t="s">
        <v>182</v>
      </c>
      <c r="K29" s="10" t="s">
        <v>132</v>
      </c>
      <c r="L29" s="11" t="s">
        <v>79</v>
      </c>
      <c r="M29" s="11"/>
    </row>
    <row r="30" customFormat="false" ht="35.05" hidden="false" customHeight="false" outlineLevel="0" collapsed="false">
      <c r="A30" s="10" t="n">
        <v>25</v>
      </c>
      <c r="B30" s="10" t="s">
        <v>45</v>
      </c>
      <c r="C30" s="10" t="s">
        <v>174</v>
      </c>
      <c r="D30" s="10" t="s">
        <v>183</v>
      </c>
      <c r="E30" s="10" t="s">
        <v>184</v>
      </c>
      <c r="F30" s="10" t="s">
        <v>185</v>
      </c>
      <c r="G30" s="10" t="s">
        <v>75</v>
      </c>
      <c r="H30" s="10" t="str">
        <f aca="false">IF(G30="Deep","Master prompt",IF(G30="Targeted","Section prompt",IF(G30="Cite only","Claim-check prompt","")))</f>
        <v>Master prompt</v>
      </c>
      <c r="I30" s="10" t="s">
        <v>167</v>
      </c>
      <c r="J30" s="11" t="s">
        <v>186</v>
      </c>
      <c r="K30" s="10" t="s">
        <v>132</v>
      </c>
      <c r="L30" s="11" t="s">
        <v>79</v>
      </c>
      <c r="M30" s="11"/>
    </row>
    <row r="31" customFormat="false" ht="46.25" hidden="false" customHeight="false" outlineLevel="0" collapsed="false">
      <c r="A31" s="10" t="n">
        <v>26</v>
      </c>
      <c r="B31" s="10" t="s">
        <v>45</v>
      </c>
      <c r="C31" s="10" t="s">
        <v>174</v>
      </c>
      <c r="D31" s="10" t="s">
        <v>187</v>
      </c>
      <c r="E31" s="10" t="s">
        <v>93</v>
      </c>
      <c r="F31" s="10" t="s">
        <v>94</v>
      </c>
      <c r="G31" s="10" t="s">
        <v>75</v>
      </c>
      <c r="H31" s="10" t="str">
        <f aca="false">IF(G31="Deep","Master prompt",IF(G31="Targeted","Section prompt",IF(G31="Cite only","Claim-check prompt","")))</f>
        <v>Master prompt</v>
      </c>
      <c r="I31" s="10" t="s">
        <v>117</v>
      </c>
      <c r="J31" s="11" t="s">
        <v>188</v>
      </c>
      <c r="K31" s="10" t="s">
        <v>110</v>
      </c>
      <c r="L31" s="11" t="s">
        <v>94</v>
      </c>
      <c r="M31" s="11"/>
    </row>
    <row r="32" customFormat="false" ht="35.05" hidden="false" customHeight="false" outlineLevel="0" collapsed="false">
      <c r="A32" s="10" t="n">
        <v>27</v>
      </c>
      <c r="B32" s="10" t="s">
        <v>45</v>
      </c>
      <c r="C32" s="10" t="s">
        <v>174</v>
      </c>
      <c r="D32" s="10" t="s">
        <v>189</v>
      </c>
      <c r="E32" s="10" t="s">
        <v>93</v>
      </c>
      <c r="F32" s="10" t="s">
        <v>94</v>
      </c>
      <c r="G32" s="10" t="s">
        <v>75</v>
      </c>
      <c r="H32" s="10" t="str">
        <f aca="false">IF(G32="Deep","Master prompt",IF(G32="Targeted","Section prompt",IF(G32="Cite only","Claim-check prompt","")))</f>
        <v>Master prompt</v>
      </c>
      <c r="I32" s="10" t="s">
        <v>190</v>
      </c>
      <c r="J32" s="11" t="s">
        <v>191</v>
      </c>
      <c r="K32" s="10" t="s">
        <v>110</v>
      </c>
      <c r="L32" s="11" t="s">
        <v>94</v>
      </c>
      <c r="M32" s="11"/>
    </row>
    <row r="33" customFormat="false" ht="35.05" hidden="false" customHeight="false" outlineLevel="0" collapsed="false">
      <c r="A33" s="10" t="n">
        <v>28</v>
      </c>
      <c r="B33" s="10" t="s">
        <v>45</v>
      </c>
      <c r="C33" s="10" t="s">
        <v>71</v>
      </c>
      <c r="D33" s="10" t="s">
        <v>192</v>
      </c>
      <c r="E33" s="10" t="s">
        <v>93</v>
      </c>
      <c r="F33" s="10" t="s">
        <v>94</v>
      </c>
      <c r="G33" s="10" t="s">
        <v>193</v>
      </c>
      <c r="H33" s="10" t="str">
        <f aca="false">IF(G33="Deep","Master prompt",IF(G33="Targeted","Section prompt",IF(G33="Cite only","Claim-check prompt","")))</f>
        <v>Section prompt</v>
      </c>
      <c r="I33" s="10" t="s">
        <v>167</v>
      </c>
      <c r="J33" s="11" t="s">
        <v>194</v>
      </c>
      <c r="K33" s="10" t="s">
        <v>195</v>
      </c>
      <c r="L33" s="11" t="s">
        <v>94</v>
      </c>
      <c r="M33" s="11"/>
    </row>
    <row r="34" customFormat="false" ht="23.85" hidden="false" customHeight="false" outlineLevel="0" collapsed="false">
      <c r="A34" s="10" t="n">
        <v>29</v>
      </c>
      <c r="B34" s="10" t="s">
        <v>45</v>
      </c>
      <c r="C34" s="10" t="s">
        <v>71</v>
      </c>
      <c r="D34" s="10" t="s">
        <v>196</v>
      </c>
      <c r="E34" s="10" t="s">
        <v>93</v>
      </c>
      <c r="F34" s="10" t="s">
        <v>94</v>
      </c>
      <c r="G34" s="10" t="s">
        <v>193</v>
      </c>
      <c r="H34" s="10" t="str">
        <f aca="false">IF(G34="Deep","Master prompt",IF(G34="Targeted","Section prompt",IF(G34="Cite only","Claim-check prompt","")))</f>
        <v>Section prompt</v>
      </c>
      <c r="I34" s="10" t="s">
        <v>167</v>
      </c>
      <c r="J34" s="11" t="s">
        <v>197</v>
      </c>
      <c r="K34" s="10" t="s">
        <v>195</v>
      </c>
      <c r="L34" s="11" t="s">
        <v>94</v>
      </c>
      <c r="M34" s="11"/>
    </row>
    <row r="35" customFormat="false" ht="23.85" hidden="false" customHeight="false" outlineLevel="0" collapsed="false">
      <c r="A35" s="10" t="n">
        <v>30</v>
      </c>
      <c r="B35" s="10" t="s">
        <v>45</v>
      </c>
      <c r="C35" s="10" t="s">
        <v>71</v>
      </c>
      <c r="D35" s="10" t="s">
        <v>198</v>
      </c>
      <c r="E35" s="10" t="s">
        <v>93</v>
      </c>
      <c r="F35" s="10" t="s">
        <v>94</v>
      </c>
      <c r="G35" s="10" t="s">
        <v>193</v>
      </c>
      <c r="H35" s="10" t="str">
        <f aca="false">IF(G35="Deep","Master prompt",IF(G35="Targeted","Section prompt",IF(G35="Cite only","Claim-check prompt","")))</f>
        <v>Section prompt</v>
      </c>
      <c r="I35" s="10" t="s">
        <v>167</v>
      </c>
      <c r="J35" s="11" t="s">
        <v>199</v>
      </c>
      <c r="K35" s="10" t="s">
        <v>195</v>
      </c>
      <c r="L35" s="11" t="s">
        <v>94</v>
      </c>
      <c r="M35" s="11"/>
    </row>
    <row r="36" customFormat="false" ht="35.05" hidden="false" customHeight="false" outlineLevel="0" collapsed="false">
      <c r="A36" s="10" t="n">
        <v>31</v>
      </c>
      <c r="B36" s="10" t="s">
        <v>45</v>
      </c>
      <c r="C36" s="10" t="s">
        <v>71</v>
      </c>
      <c r="D36" s="10" t="s">
        <v>200</v>
      </c>
      <c r="E36" s="10" t="s">
        <v>93</v>
      </c>
      <c r="F36" s="10" t="s">
        <v>94</v>
      </c>
      <c r="G36" s="10" t="s">
        <v>193</v>
      </c>
      <c r="H36" s="10" t="str">
        <f aca="false">IF(G36="Deep","Master prompt",IF(G36="Targeted","Section prompt",IF(G36="Cite only","Claim-check prompt","")))</f>
        <v>Section prompt</v>
      </c>
      <c r="I36" s="10" t="s">
        <v>167</v>
      </c>
      <c r="J36" s="11" t="s">
        <v>201</v>
      </c>
      <c r="K36" s="10" t="s">
        <v>195</v>
      </c>
      <c r="L36" s="11" t="s">
        <v>94</v>
      </c>
      <c r="M36" s="11"/>
    </row>
    <row r="37" customFormat="false" ht="35.05" hidden="false" customHeight="false" outlineLevel="0" collapsed="false">
      <c r="A37" s="10" t="n">
        <v>32</v>
      </c>
      <c r="B37" s="10" t="s">
        <v>45</v>
      </c>
      <c r="C37" s="10" t="s">
        <v>202</v>
      </c>
      <c r="D37" s="10" t="s">
        <v>203</v>
      </c>
      <c r="E37" s="10" t="s">
        <v>93</v>
      </c>
      <c r="F37" s="10" t="s">
        <v>94</v>
      </c>
      <c r="G37" s="10" t="s">
        <v>193</v>
      </c>
      <c r="H37" s="10" t="str">
        <f aca="false">IF(G37="Deep","Master prompt",IF(G37="Targeted","Section prompt",IF(G37="Cite only","Claim-check prompt","")))</f>
        <v>Section prompt</v>
      </c>
      <c r="I37" s="10" t="s">
        <v>152</v>
      </c>
      <c r="J37" s="11" t="s">
        <v>204</v>
      </c>
      <c r="K37" s="10" t="s">
        <v>195</v>
      </c>
      <c r="L37" s="11" t="s">
        <v>94</v>
      </c>
      <c r="M37" s="11"/>
    </row>
    <row r="38" customFormat="false" ht="35.05" hidden="false" customHeight="false" outlineLevel="0" collapsed="false">
      <c r="A38" s="10" t="n">
        <v>33</v>
      </c>
      <c r="B38" s="10" t="s">
        <v>45</v>
      </c>
      <c r="C38" s="10" t="s">
        <v>202</v>
      </c>
      <c r="D38" s="10" t="s">
        <v>205</v>
      </c>
      <c r="E38" s="10" t="s">
        <v>93</v>
      </c>
      <c r="F38" s="10" t="s">
        <v>94</v>
      </c>
      <c r="G38" s="10" t="s">
        <v>193</v>
      </c>
      <c r="H38" s="10" t="str">
        <f aca="false">IF(G38="Deep","Master prompt",IF(G38="Targeted","Section prompt",IF(G38="Cite only","Claim-check prompt","")))</f>
        <v>Section prompt</v>
      </c>
      <c r="I38" s="10" t="s">
        <v>206</v>
      </c>
      <c r="J38" s="11" t="s">
        <v>207</v>
      </c>
      <c r="K38" s="10" t="s">
        <v>208</v>
      </c>
      <c r="L38" s="11" t="s">
        <v>94</v>
      </c>
      <c r="M38" s="11"/>
    </row>
    <row r="39" customFormat="false" ht="23.85" hidden="false" customHeight="false" outlineLevel="0" collapsed="false">
      <c r="A39" s="10" t="n">
        <v>34</v>
      </c>
      <c r="B39" s="10" t="s">
        <v>47</v>
      </c>
      <c r="C39" s="10" t="s">
        <v>71</v>
      </c>
      <c r="D39" s="10" t="s">
        <v>209</v>
      </c>
      <c r="E39" s="10" t="s">
        <v>93</v>
      </c>
      <c r="F39" s="10" t="s">
        <v>94</v>
      </c>
      <c r="G39" s="10" t="s">
        <v>193</v>
      </c>
      <c r="H39" s="10" t="str">
        <f aca="false">IF(G39="Deep","Master prompt",IF(G39="Targeted","Section prompt",IF(G39="Cite only","Claim-check prompt","")))</f>
        <v>Section prompt</v>
      </c>
      <c r="I39" s="10" t="s">
        <v>210</v>
      </c>
      <c r="J39" s="11" t="s">
        <v>211</v>
      </c>
      <c r="K39" s="10" t="s">
        <v>212</v>
      </c>
      <c r="L39" s="11" t="s">
        <v>94</v>
      </c>
      <c r="M39" s="11"/>
    </row>
    <row r="40" customFormat="false" ht="23.85" hidden="false" customHeight="false" outlineLevel="0" collapsed="false">
      <c r="A40" s="10" t="n">
        <v>35</v>
      </c>
      <c r="B40" s="10" t="s">
        <v>47</v>
      </c>
      <c r="C40" s="10" t="s">
        <v>71</v>
      </c>
      <c r="D40" s="10" t="s">
        <v>213</v>
      </c>
      <c r="E40" s="10" t="s">
        <v>93</v>
      </c>
      <c r="F40" s="10" t="s">
        <v>94</v>
      </c>
      <c r="G40" s="10" t="s">
        <v>193</v>
      </c>
      <c r="H40" s="10" t="str">
        <f aca="false">IF(G40="Deep","Master prompt",IF(G40="Targeted","Section prompt",IF(G40="Cite only","Claim-check prompt","")))</f>
        <v>Section prompt</v>
      </c>
      <c r="I40" s="10" t="s">
        <v>214</v>
      </c>
      <c r="J40" s="11" t="s">
        <v>215</v>
      </c>
      <c r="K40" s="10" t="s">
        <v>212</v>
      </c>
      <c r="L40" s="11" t="s">
        <v>94</v>
      </c>
      <c r="M40" s="11"/>
    </row>
    <row r="41" customFormat="false" ht="35.05" hidden="false" customHeight="false" outlineLevel="0" collapsed="false">
      <c r="A41" s="10" t="n">
        <v>36</v>
      </c>
      <c r="B41" s="10" t="s">
        <v>47</v>
      </c>
      <c r="C41" s="10" t="s">
        <v>71</v>
      </c>
      <c r="D41" s="10" t="s">
        <v>216</v>
      </c>
      <c r="E41" s="10" t="s">
        <v>93</v>
      </c>
      <c r="F41" s="10" t="s">
        <v>94</v>
      </c>
      <c r="G41" s="10" t="s">
        <v>193</v>
      </c>
      <c r="H41" s="10" t="str">
        <f aca="false">IF(G41="Deep","Master prompt",IF(G41="Targeted","Section prompt",IF(G41="Cite only","Claim-check prompt","")))</f>
        <v>Section prompt</v>
      </c>
      <c r="I41" s="10" t="s">
        <v>157</v>
      </c>
      <c r="J41" s="11" t="s">
        <v>217</v>
      </c>
      <c r="K41" s="10" t="s">
        <v>212</v>
      </c>
      <c r="L41" s="11" t="s">
        <v>94</v>
      </c>
      <c r="M41" s="11"/>
    </row>
    <row r="42" customFormat="false" ht="35.05" hidden="false" customHeight="false" outlineLevel="0" collapsed="false">
      <c r="A42" s="10" t="n">
        <v>37</v>
      </c>
      <c r="B42" s="10" t="s">
        <v>47</v>
      </c>
      <c r="C42" s="10" t="s">
        <v>202</v>
      </c>
      <c r="D42" s="10" t="s">
        <v>218</v>
      </c>
      <c r="E42" s="10" t="s">
        <v>93</v>
      </c>
      <c r="F42" s="10" t="s">
        <v>94</v>
      </c>
      <c r="G42" s="10" t="s">
        <v>193</v>
      </c>
      <c r="H42" s="10" t="str">
        <f aca="false">IF(G42="Deep","Master prompt",IF(G42="Targeted","Section prompt",IF(G42="Cite only","Claim-check prompt","")))</f>
        <v>Section prompt</v>
      </c>
      <c r="I42" s="10" t="s">
        <v>219</v>
      </c>
      <c r="J42" s="11" t="s">
        <v>220</v>
      </c>
      <c r="K42" s="10" t="s">
        <v>212</v>
      </c>
      <c r="L42" s="11" t="s">
        <v>94</v>
      </c>
      <c r="M42" s="11"/>
    </row>
    <row r="43" customFormat="false" ht="23.85" hidden="false" customHeight="false" outlineLevel="0" collapsed="false">
      <c r="A43" s="10" t="n">
        <v>38</v>
      </c>
      <c r="B43" s="10" t="s">
        <v>47</v>
      </c>
      <c r="C43" s="10" t="s">
        <v>71</v>
      </c>
      <c r="D43" s="10" t="s">
        <v>221</v>
      </c>
      <c r="E43" s="10" t="s">
        <v>32</v>
      </c>
      <c r="F43" s="10" t="s">
        <v>222</v>
      </c>
      <c r="G43" s="10" t="s">
        <v>193</v>
      </c>
      <c r="H43" s="10" t="str">
        <f aca="false">IF(G43="Deep","Master prompt",IF(G43="Targeted","Section prompt",IF(G43="Cite only","Claim-check prompt","")))</f>
        <v>Section prompt</v>
      </c>
      <c r="I43" s="10" t="s">
        <v>223</v>
      </c>
      <c r="J43" s="11" t="s">
        <v>224</v>
      </c>
      <c r="K43" s="10" t="s">
        <v>225</v>
      </c>
      <c r="L43" s="11" t="s">
        <v>79</v>
      </c>
      <c r="M43" s="11"/>
    </row>
    <row r="44" customFormat="false" ht="35.05" hidden="false" customHeight="false" outlineLevel="0" collapsed="false">
      <c r="A44" s="10" t="n">
        <v>39</v>
      </c>
      <c r="B44" s="10" t="s">
        <v>47</v>
      </c>
      <c r="C44" s="10" t="s">
        <v>71</v>
      </c>
      <c r="D44" s="10" t="s">
        <v>226</v>
      </c>
      <c r="E44" s="10" t="s">
        <v>155</v>
      </c>
      <c r="F44" s="10" t="s">
        <v>227</v>
      </c>
      <c r="G44" s="10" t="s">
        <v>193</v>
      </c>
      <c r="H44" s="10" t="str">
        <f aca="false">IF(G44="Deep","Master prompt",IF(G44="Targeted","Section prompt",IF(G44="Cite only","Claim-check prompt","")))</f>
        <v>Section prompt</v>
      </c>
      <c r="I44" s="10" t="s">
        <v>228</v>
      </c>
      <c r="J44" s="11" t="s">
        <v>229</v>
      </c>
      <c r="K44" s="10" t="s">
        <v>225</v>
      </c>
      <c r="L44" s="11" t="s">
        <v>79</v>
      </c>
      <c r="M44" s="11"/>
    </row>
    <row r="45" customFormat="false" ht="23.85" hidden="false" customHeight="false" outlineLevel="0" collapsed="false">
      <c r="A45" s="10" t="n">
        <v>40</v>
      </c>
      <c r="B45" s="10" t="s">
        <v>47</v>
      </c>
      <c r="C45" s="10" t="s">
        <v>71</v>
      </c>
      <c r="D45" s="10" t="s">
        <v>230</v>
      </c>
      <c r="E45" s="10" t="s">
        <v>93</v>
      </c>
      <c r="F45" s="10" t="s">
        <v>94</v>
      </c>
      <c r="G45" s="10" t="s">
        <v>193</v>
      </c>
      <c r="H45" s="10" t="str">
        <f aca="false">IF(G45="Deep","Master prompt",IF(G45="Targeted","Section prompt",IF(G45="Cite only","Claim-check prompt","")))</f>
        <v>Section prompt</v>
      </c>
      <c r="I45" s="10" t="s">
        <v>228</v>
      </c>
      <c r="J45" s="11" t="s">
        <v>231</v>
      </c>
      <c r="K45" s="10" t="s">
        <v>225</v>
      </c>
      <c r="L45" s="11" t="s">
        <v>94</v>
      </c>
      <c r="M45" s="11"/>
    </row>
    <row r="46" customFormat="false" ht="46.25" hidden="false" customHeight="false" outlineLevel="0" collapsed="false">
      <c r="A46" s="10" t="n">
        <v>41</v>
      </c>
      <c r="B46" s="10" t="s">
        <v>47</v>
      </c>
      <c r="C46" s="10" t="s">
        <v>71</v>
      </c>
      <c r="D46" s="10" t="s">
        <v>232</v>
      </c>
      <c r="E46" s="10" t="s">
        <v>233</v>
      </c>
      <c r="F46" s="10" t="s">
        <v>234</v>
      </c>
      <c r="G46" s="10" t="s">
        <v>193</v>
      </c>
      <c r="H46" s="10" t="str">
        <f aca="false">IF(G46="Deep","Master prompt",IF(G46="Targeted","Section prompt",IF(G46="Cite only","Claim-check prompt","")))</f>
        <v>Section prompt</v>
      </c>
      <c r="I46" s="10" t="s">
        <v>235</v>
      </c>
      <c r="J46" s="11" t="s">
        <v>236</v>
      </c>
      <c r="K46" s="10" t="s">
        <v>225</v>
      </c>
      <c r="L46" s="11" t="s">
        <v>79</v>
      </c>
      <c r="M46" s="11"/>
    </row>
    <row r="47" customFormat="false" ht="35.05" hidden="false" customHeight="false" outlineLevel="0" collapsed="false">
      <c r="A47" s="10" t="n">
        <v>42</v>
      </c>
      <c r="B47" s="10" t="s">
        <v>47</v>
      </c>
      <c r="C47" s="10" t="s">
        <v>71</v>
      </c>
      <c r="D47" s="10" t="s">
        <v>237</v>
      </c>
      <c r="E47" s="10" t="s">
        <v>93</v>
      </c>
      <c r="F47" s="10" t="s">
        <v>94</v>
      </c>
      <c r="G47" s="10" t="s">
        <v>193</v>
      </c>
      <c r="H47" s="10" t="str">
        <f aca="false">IF(G47="Deep","Master prompt",IF(G47="Targeted","Section prompt",IF(G47="Cite only","Claim-check prompt","")))</f>
        <v>Section prompt</v>
      </c>
      <c r="I47" s="10" t="s">
        <v>238</v>
      </c>
      <c r="J47" s="11" t="s">
        <v>239</v>
      </c>
      <c r="K47" s="10" t="s">
        <v>225</v>
      </c>
      <c r="L47" s="11" t="s">
        <v>94</v>
      </c>
      <c r="M47" s="11"/>
    </row>
    <row r="48" customFormat="false" ht="23.85" hidden="false" customHeight="false" outlineLevel="0" collapsed="false">
      <c r="A48" s="10" t="n">
        <v>43</v>
      </c>
      <c r="B48" s="10" t="s">
        <v>47</v>
      </c>
      <c r="C48" s="10" t="s">
        <v>71</v>
      </c>
      <c r="D48" s="10" t="s">
        <v>240</v>
      </c>
      <c r="E48" s="10" t="s">
        <v>155</v>
      </c>
      <c r="F48" s="10" t="s">
        <v>241</v>
      </c>
      <c r="G48" s="10" t="s">
        <v>193</v>
      </c>
      <c r="H48" s="10" t="str">
        <f aca="false">IF(G48="Deep","Master prompt",IF(G48="Targeted","Section prompt",IF(G48="Cite only","Claim-check prompt","")))</f>
        <v>Section prompt</v>
      </c>
      <c r="I48" s="10" t="s">
        <v>238</v>
      </c>
      <c r="J48" s="11" t="s">
        <v>242</v>
      </c>
      <c r="K48" s="10" t="s">
        <v>225</v>
      </c>
      <c r="L48" s="11" t="s">
        <v>79</v>
      </c>
      <c r="M48" s="11"/>
    </row>
    <row r="49" customFormat="false" ht="35.05" hidden="false" customHeight="false" outlineLevel="0" collapsed="false">
      <c r="A49" s="10" t="n">
        <v>44</v>
      </c>
      <c r="B49" s="10" t="s">
        <v>47</v>
      </c>
      <c r="C49" s="10" t="s">
        <v>71</v>
      </c>
      <c r="D49" s="10" t="s">
        <v>243</v>
      </c>
      <c r="E49" s="10" t="s">
        <v>244</v>
      </c>
      <c r="F49" s="10" t="s">
        <v>245</v>
      </c>
      <c r="G49" s="10" t="s">
        <v>193</v>
      </c>
      <c r="H49" s="10" t="str">
        <f aca="false">IF(G49="Deep","Master prompt",IF(G49="Targeted","Section prompt",IF(G49="Cite only","Claim-check prompt","")))</f>
        <v>Section prompt</v>
      </c>
      <c r="I49" s="10" t="s">
        <v>246</v>
      </c>
      <c r="J49" s="11" t="s">
        <v>247</v>
      </c>
      <c r="K49" s="10" t="s">
        <v>248</v>
      </c>
      <c r="L49" s="11" t="s">
        <v>79</v>
      </c>
      <c r="M49" s="11"/>
    </row>
    <row r="50" customFormat="false" ht="35.05" hidden="false" customHeight="false" outlineLevel="0" collapsed="false">
      <c r="A50" s="10" t="n">
        <v>45</v>
      </c>
      <c r="B50" s="10" t="s">
        <v>47</v>
      </c>
      <c r="C50" s="10" t="s">
        <v>71</v>
      </c>
      <c r="D50" s="10" t="s">
        <v>249</v>
      </c>
      <c r="E50" s="10" t="s">
        <v>250</v>
      </c>
      <c r="F50" s="10" t="s">
        <v>251</v>
      </c>
      <c r="G50" s="10" t="s">
        <v>193</v>
      </c>
      <c r="H50" s="10" t="str">
        <f aca="false">IF(G50="Deep","Master prompt",IF(G50="Targeted","Section prompt",IF(G50="Cite only","Claim-check prompt","")))</f>
        <v>Section prompt</v>
      </c>
      <c r="I50" s="10" t="s">
        <v>252</v>
      </c>
      <c r="J50" s="11" t="s">
        <v>253</v>
      </c>
      <c r="K50" s="10" t="s">
        <v>248</v>
      </c>
      <c r="L50" s="11" t="s">
        <v>79</v>
      </c>
      <c r="M50" s="11"/>
    </row>
    <row r="51" customFormat="false" ht="35.05" hidden="false" customHeight="false" outlineLevel="0" collapsed="false">
      <c r="A51" s="10" t="n">
        <v>46</v>
      </c>
      <c r="B51" s="10" t="s">
        <v>47</v>
      </c>
      <c r="C51" s="10" t="s">
        <v>202</v>
      </c>
      <c r="D51" s="10" t="s">
        <v>254</v>
      </c>
      <c r="E51" s="10" t="s">
        <v>255</v>
      </c>
      <c r="F51" s="10" t="s">
        <v>256</v>
      </c>
      <c r="G51" s="10" t="s">
        <v>193</v>
      </c>
      <c r="H51" s="10" t="str">
        <f aca="false">IF(G51="Deep","Master prompt",IF(G51="Targeted","Section prompt",IF(G51="Cite only","Claim-check prompt","")))</f>
        <v>Section prompt</v>
      </c>
      <c r="I51" s="10" t="s">
        <v>257</v>
      </c>
      <c r="J51" s="11" t="s">
        <v>258</v>
      </c>
      <c r="K51" s="10" t="s">
        <v>248</v>
      </c>
      <c r="L51" s="11" t="s">
        <v>79</v>
      </c>
      <c r="M51" s="11"/>
    </row>
    <row r="52" customFormat="false" ht="35.05" hidden="false" customHeight="false" outlineLevel="0" collapsed="false">
      <c r="A52" s="10" t="n">
        <v>47</v>
      </c>
      <c r="B52" s="10" t="s">
        <v>47</v>
      </c>
      <c r="C52" s="10" t="s">
        <v>202</v>
      </c>
      <c r="D52" s="10" t="s">
        <v>259</v>
      </c>
      <c r="E52" s="10" t="s">
        <v>155</v>
      </c>
      <c r="F52" s="10" t="s">
        <v>260</v>
      </c>
      <c r="G52" s="10" t="s">
        <v>193</v>
      </c>
      <c r="H52" s="10" t="str">
        <f aca="false">IF(G52="Deep","Master prompt",IF(G52="Targeted","Section prompt",IF(G52="Cite only","Claim-check prompt","")))</f>
        <v>Section prompt</v>
      </c>
      <c r="I52" s="10" t="s">
        <v>261</v>
      </c>
      <c r="J52" s="11" t="s">
        <v>262</v>
      </c>
      <c r="K52" s="10" t="s">
        <v>263</v>
      </c>
      <c r="L52" s="11" t="s">
        <v>79</v>
      </c>
      <c r="M52" s="11"/>
    </row>
    <row r="53" customFormat="false" ht="46.25" hidden="false" customHeight="false" outlineLevel="0" collapsed="false">
      <c r="A53" s="10" t="n">
        <v>48</v>
      </c>
      <c r="B53" s="10" t="s">
        <v>47</v>
      </c>
      <c r="C53" s="10" t="s">
        <v>202</v>
      </c>
      <c r="D53" s="10" t="s">
        <v>264</v>
      </c>
      <c r="E53" s="10" t="s">
        <v>155</v>
      </c>
      <c r="F53" s="10" t="s">
        <v>265</v>
      </c>
      <c r="G53" s="10" t="s">
        <v>193</v>
      </c>
      <c r="H53" s="10" t="str">
        <f aca="false">IF(G53="Deep","Master prompt",IF(G53="Targeted","Section prompt",IF(G53="Cite only","Claim-check prompt","")))</f>
        <v>Section prompt</v>
      </c>
      <c r="I53" s="10" t="s">
        <v>266</v>
      </c>
      <c r="J53" s="11" t="s">
        <v>267</v>
      </c>
      <c r="K53" s="10" t="s">
        <v>263</v>
      </c>
      <c r="L53" s="11" t="s">
        <v>79</v>
      </c>
      <c r="M53" s="11"/>
    </row>
    <row r="54" customFormat="false" ht="35.05" hidden="false" customHeight="false" outlineLevel="0" collapsed="false">
      <c r="A54" s="10" t="n">
        <v>49</v>
      </c>
      <c r="B54" s="10" t="s">
        <v>47</v>
      </c>
      <c r="C54" s="10" t="s">
        <v>202</v>
      </c>
      <c r="D54" s="10" t="s">
        <v>268</v>
      </c>
      <c r="E54" s="10" t="s">
        <v>155</v>
      </c>
      <c r="F54" s="10" t="s">
        <v>269</v>
      </c>
      <c r="G54" s="10" t="s">
        <v>193</v>
      </c>
      <c r="H54" s="10" t="str">
        <f aca="false">IF(G54="Deep","Master prompt",IF(G54="Targeted","Section prompt",IF(G54="Cite only","Claim-check prompt","")))</f>
        <v>Section prompt</v>
      </c>
      <c r="I54" s="10" t="s">
        <v>270</v>
      </c>
      <c r="J54" s="11" t="s">
        <v>271</v>
      </c>
      <c r="K54" s="10" t="s">
        <v>263</v>
      </c>
      <c r="L54" s="11" t="s">
        <v>79</v>
      </c>
      <c r="M54" s="11"/>
    </row>
    <row r="55" customFormat="false" ht="46.25" hidden="false" customHeight="false" outlineLevel="0" collapsed="false">
      <c r="A55" s="10" t="n">
        <v>50</v>
      </c>
      <c r="B55" s="10" t="s">
        <v>47</v>
      </c>
      <c r="C55" s="10" t="s">
        <v>202</v>
      </c>
      <c r="D55" s="10" t="s">
        <v>272</v>
      </c>
      <c r="E55" s="10" t="s">
        <v>155</v>
      </c>
      <c r="F55" s="10" t="s">
        <v>273</v>
      </c>
      <c r="G55" s="10" t="s">
        <v>193</v>
      </c>
      <c r="H55" s="10" t="str">
        <f aca="false">IF(G55="Deep","Master prompt",IF(G55="Targeted","Section prompt",IF(G55="Cite only","Claim-check prompt","")))</f>
        <v>Section prompt</v>
      </c>
      <c r="I55" s="10" t="s">
        <v>167</v>
      </c>
      <c r="J55" s="11" t="s">
        <v>274</v>
      </c>
      <c r="K55" s="10" t="s">
        <v>263</v>
      </c>
      <c r="L55" s="11" t="s">
        <v>79</v>
      </c>
      <c r="M55" s="11"/>
    </row>
    <row r="56" customFormat="false" ht="35.05" hidden="false" customHeight="false" outlineLevel="0" collapsed="false">
      <c r="A56" s="10" t="n">
        <v>51</v>
      </c>
      <c r="B56" s="10" t="s">
        <v>47</v>
      </c>
      <c r="C56" s="10" t="s">
        <v>71</v>
      </c>
      <c r="D56" s="10" t="s">
        <v>275</v>
      </c>
      <c r="E56" s="10" t="s">
        <v>155</v>
      </c>
      <c r="F56" s="10" t="s">
        <v>276</v>
      </c>
      <c r="G56" s="10" t="s">
        <v>193</v>
      </c>
      <c r="H56" s="10" t="str">
        <f aca="false">IF(G56="Deep","Master prompt",IF(G56="Targeted","Section prompt",IF(G56="Cite only","Claim-check prompt","")))</f>
        <v>Section prompt</v>
      </c>
      <c r="I56" s="10" t="s">
        <v>228</v>
      </c>
      <c r="J56" s="11" t="s">
        <v>277</v>
      </c>
      <c r="K56" s="10" t="s">
        <v>263</v>
      </c>
      <c r="L56" s="11" t="s">
        <v>79</v>
      </c>
      <c r="M56" s="11"/>
    </row>
    <row r="57" customFormat="false" ht="35.05" hidden="false" customHeight="false" outlineLevel="0" collapsed="false">
      <c r="A57" s="10" t="n">
        <v>52</v>
      </c>
      <c r="B57" s="10" t="s">
        <v>47</v>
      </c>
      <c r="C57" s="10" t="s">
        <v>202</v>
      </c>
      <c r="D57" s="10" t="s">
        <v>278</v>
      </c>
      <c r="E57" s="10" t="s">
        <v>155</v>
      </c>
      <c r="F57" s="10" t="s">
        <v>279</v>
      </c>
      <c r="G57" s="10" t="s">
        <v>193</v>
      </c>
      <c r="H57" s="10" t="str">
        <f aca="false">IF(G57="Deep","Master prompt",IF(G57="Targeted","Section prompt",IF(G57="Cite only","Claim-check prompt","")))</f>
        <v>Section prompt</v>
      </c>
      <c r="I57" s="10" t="s">
        <v>219</v>
      </c>
      <c r="J57" s="11" t="s">
        <v>280</v>
      </c>
      <c r="K57" s="10" t="s">
        <v>263</v>
      </c>
      <c r="L57" s="11" t="s">
        <v>79</v>
      </c>
      <c r="M57" s="11"/>
    </row>
    <row r="58" customFormat="false" ht="35.05" hidden="false" customHeight="false" outlineLevel="0" collapsed="false">
      <c r="A58" s="10" t="n">
        <v>53</v>
      </c>
      <c r="B58" s="10" t="s">
        <v>47</v>
      </c>
      <c r="C58" s="10" t="s">
        <v>71</v>
      </c>
      <c r="D58" s="10" t="s">
        <v>281</v>
      </c>
      <c r="E58" s="10" t="s">
        <v>93</v>
      </c>
      <c r="F58" s="10" t="s">
        <v>94</v>
      </c>
      <c r="G58" s="10" t="s">
        <v>193</v>
      </c>
      <c r="H58" s="10" t="str">
        <f aca="false">IF(G58="Deep","Master prompt",IF(G58="Targeted","Section prompt",IF(G58="Cite only","Claim-check prompt","")))</f>
        <v>Section prompt</v>
      </c>
      <c r="I58" s="10" t="s">
        <v>282</v>
      </c>
      <c r="J58" s="11" t="s">
        <v>283</v>
      </c>
      <c r="K58" s="10" t="s">
        <v>284</v>
      </c>
      <c r="L58" s="11" t="s">
        <v>94</v>
      </c>
      <c r="M58" s="11"/>
    </row>
    <row r="59" customFormat="false" ht="35.05" hidden="false" customHeight="false" outlineLevel="0" collapsed="false">
      <c r="A59" s="10" t="n">
        <v>54</v>
      </c>
      <c r="B59" s="10" t="s">
        <v>47</v>
      </c>
      <c r="C59" s="10" t="s">
        <v>71</v>
      </c>
      <c r="D59" s="10" t="s">
        <v>285</v>
      </c>
      <c r="E59" s="10" t="s">
        <v>93</v>
      </c>
      <c r="F59" s="10" t="s">
        <v>94</v>
      </c>
      <c r="G59" s="10" t="s">
        <v>193</v>
      </c>
      <c r="H59" s="10" t="str">
        <f aca="false">IF(G59="Deep","Master prompt",IF(G59="Targeted","Section prompt",IF(G59="Cite only","Claim-check prompt","")))</f>
        <v>Section prompt</v>
      </c>
      <c r="I59" s="10" t="s">
        <v>282</v>
      </c>
      <c r="J59" s="11" t="s">
        <v>286</v>
      </c>
      <c r="K59" s="10" t="s">
        <v>284</v>
      </c>
      <c r="L59" s="11" t="s">
        <v>94</v>
      </c>
      <c r="M59" s="11"/>
    </row>
    <row r="60" customFormat="false" ht="23.85" hidden="false" customHeight="false" outlineLevel="0" collapsed="false">
      <c r="A60" s="10" t="n">
        <v>55</v>
      </c>
      <c r="B60" s="10" t="s">
        <v>47</v>
      </c>
      <c r="C60" s="10" t="s">
        <v>202</v>
      </c>
      <c r="D60" s="10" t="s">
        <v>287</v>
      </c>
      <c r="E60" s="10" t="s">
        <v>93</v>
      </c>
      <c r="F60" s="10" t="s">
        <v>94</v>
      </c>
      <c r="G60" s="10" t="s">
        <v>193</v>
      </c>
      <c r="H60" s="10" t="str">
        <f aca="false">IF(G60="Deep","Master prompt",IF(G60="Targeted","Section prompt",IF(G60="Cite only","Claim-check prompt","")))</f>
        <v>Section prompt</v>
      </c>
      <c r="I60" s="10" t="s">
        <v>288</v>
      </c>
      <c r="J60" s="11" t="s">
        <v>289</v>
      </c>
      <c r="K60" s="10" t="s">
        <v>284</v>
      </c>
      <c r="L60" s="11" t="s">
        <v>94</v>
      </c>
      <c r="M60" s="11"/>
    </row>
    <row r="61" customFormat="false" ht="23.85" hidden="false" customHeight="false" outlineLevel="0" collapsed="false">
      <c r="A61" s="10" t="n">
        <v>56</v>
      </c>
      <c r="B61" s="10" t="s">
        <v>47</v>
      </c>
      <c r="C61" s="10" t="s">
        <v>202</v>
      </c>
      <c r="D61" s="10" t="s">
        <v>290</v>
      </c>
      <c r="E61" s="10" t="s">
        <v>93</v>
      </c>
      <c r="F61" s="10" t="s">
        <v>94</v>
      </c>
      <c r="G61" s="10" t="s">
        <v>193</v>
      </c>
      <c r="H61" s="10" t="str">
        <f aca="false">IF(G61="Deep","Master prompt",IF(G61="Targeted","Section prompt",IF(G61="Cite only","Claim-check prompt","")))</f>
        <v>Section prompt</v>
      </c>
      <c r="I61" s="10" t="s">
        <v>291</v>
      </c>
      <c r="J61" s="11" t="s">
        <v>292</v>
      </c>
      <c r="K61" s="10" t="s">
        <v>284</v>
      </c>
      <c r="L61" s="11" t="s">
        <v>94</v>
      </c>
      <c r="M61" s="11"/>
    </row>
    <row r="62" customFormat="false" ht="23.85" hidden="false" customHeight="false" outlineLevel="0" collapsed="false">
      <c r="A62" s="10" t="n">
        <v>57</v>
      </c>
      <c r="B62" s="10" t="s">
        <v>47</v>
      </c>
      <c r="C62" s="10" t="s">
        <v>174</v>
      </c>
      <c r="D62" s="10" t="s">
        <v>293</v>
      </c>
      <c r="E62" s="10" t="s">
        <v>93</v>
      </c>
      <c r="F62" s="10" t="s">
        <v>94</v>
      </c>
      <c r="G62" s="10" t="s">
        <v>193</v>
      </c>
      <c r="H62" s="10" t="str">
        <f aca="false">IF(G62="Deep","Master prompt",IF(G62="Targeted","Section prompt",IF(G62="Cite only","Claim-check prompt","")))</f>
        <v>Section prompt</v>
      </c>
      <c r="I62" s="10" t="s">
        <v>294</v>
      </c>
      <c r="J62" s="11" t="s">
        <v>295</v>
      </c>
      <c r="K62" s="10" t="s">
        <v>296</v>
      </c>
      <c r="L62" s="11" t="s">
        <v>94</v>
      </c>
      <c r="M62" s="11"/>
    </row>
    <row r="63" customFormat="false" ht="35.05" hidden="false" customHeight="false" outlineLevel="0" collapsed="false">
      <c r="A63" s="10" t="n">
        <v>58</v>
      </c>
      <c r="B63" s="10" t="s">
        <v>49</v>
      </c>
      <c r="C63" s="10" t="s">
        <v>71</v>
      </c>
      <c r="D63" s="10" t="s">
        <v>297</v>
      </c>
      <c r="E63" s="10" t="s">
        <v>298</v>
      </c>
      <c r="F63" s="10" t="s">
        <v>299</v>
      </c>
      <c r="G63" s="10" t="s">
        <v>300</v>
      </c>
      <c r="H63" s="10" t="str">
        <f aca="false">IF(G63="Deep","Master prompt",IF(G63="Targeted","Section prompt",IF(G63="Cite only","Claim-check prompt","")))</f>
        <v>Claim-check prompt</v>
      </c>
      <c r="I63" s="10" t="s">
        <v>301</v>
      </c>
      <c r="J63" s="11" t="s">
        <v>302</v>
      </c>
      <c r="K63" s="10" t="s">
        <v>303</v>
      </c>
      <c r="L63" s="11" t="s">
        <v>79</v>
      </c>
      <c r="M63" s="11"/>
    </row>
    <row r="64" customFormat="false" ht="35.05" hidden="false" customHeight="false" outlineLevel="0" collapsed="false">
      <c r="A64" s="10" t="n">
        <v>59</v>
      </c>
      <c r="B64" s="10" t="s">
        <v>49</v>
      </c>
      <c r="C64" s="10" t="s">
        <v>71</v>
      </c>
      <c r="D64" s="10" t="s">
        <v>304</v>
      </c>
      <c r="E64" s="10" t="s">
        <v>155</v>
      </c>
      <c r="F64" s="10" t="s">
        <v>305</v>
      </c>
      <c r="G64" s="10" t="s">
        <v>300</v>
      </c>
      <c r="H64" s="10" t="str">
        <f aca="false">IF(G64="Deep","Master prompt",IF(G64="Targeted","Section prompt",IF(G64="Cite only","Claim-check prompt","")))</f>
        <v>Claim-check prompt</v>
      </c>
      <c r="I64" s="10" t="s">
        <v>223</v>
      </c>
      <c r="J64" s="11" t="s">
        <v>306</v>
      </c>
      <c r="K64" s="10" t="s">
        <v>303</v>
      </c>
      <c r="L64" s="11" t="s">
        <v>79</v>
      </c>
      <c r="M64" s="11"/>
    </row>
    <row r="65" customFormat="false" ht="23.85" hidden="false" customHeight="false" outlineLevel="0" collapsed="false">
      <c r="A65" s="10" t="n">
        <v>60</v>
      </c>
      <c r="B65" s="10" t="s">
        <v>49</v>
      </c>
      <c r="C65" s="10" t="s">
        <v>71</v>
      </c>
      <c r="D65" s="10" t="s">
        <v>307</v>
      </c>
      <c r="E65" s="10" t="s">
        <v>308</v>
      </c>
      <c r="F65" s="10" t="s">
        <v>309</v>
      </c>
      <c r="G65" s="10" t="s">
        <v>300</v>
      </c>
      <c r="H65" s="10" t="str">
        <f aca="false">IF(G65="Deep","Master prompt",IF(G65="Targeted","Section prompt",IF(G65="Cite only","Claim-check prompt","")))</f>
        <v>Claim-check prompt</v>
      </c>
      <c r="I65" s="10" t="s">
        <v>219</v>
      </c>
      <c r="J65" s="11" t="s">
        <v>310</v>
      </c>
      <c r="K65" s="10" t="s">
        <v>303</v>
      </c>
      <c r="L65" s="11" t="s">
        <v>79</v>
      </c>
      <c r="M65" s="11"/>
    </row>
    <row r="66" customFormat="false" ht="35.05" hidden="false" customHeight="false" outlineLevel="0" collapsed="false">
      <c r="A66" s="10" t="n">
        <v>61</v>
      </c>
      <c r="B66" s="10" t="s">
        <v>49</v>
      </c>
      <c r="C66" s="10" t="s">
        <v>71</v>
      </c>
      <c r="D66" s="10" t="s">
        <v>311</v>
      </c>
      <c r="E66" s="10" t="s">
        <v>155</v>
      </c>
      <c r="F66" s="10" t="s">
        <v>312</v>
      </c>
      <c r="G66" s="10" t="s">
        <v>300</v>
      </c>
      <c r="H66" s="10" t="str">
        <f aca="false">IF(G66="Deep","Master prompt",IF(G66="Targeted","Section prompt",IF(G66="Cite only","Claim-check prompt","")))</f>
        <v>Claim-check prompt</v>
      </c>
      <c r="I66" s="10" t="s">
        <v>228</v>
      </c>
      <c r="J66" s="11" t="s">
        <v>313</v>
      </c>
      <c r="K66" s="10" t="s">
        <v>303</v>
      </c>
      <c r="L66" s="11" t="s">
        <v>79</v>
      </c>
      <c r="M66" s="11"/>
    </row>
    <row r="67" customFormat="false" ht="35.05" hidden="false" customHeight="false" outlineLevel="0" collapsed="false">
      <c r="A67" s="10" t="n">
        <v>62</v>
      </c>
      <c r="B67" s="10" t="s">
        <v>49</v>
      </c>
      <c r="C67" s="10" t="s">
        <v>71</v>
      </c>
      <c r="D67" s="10" t="s">
        <v>314</v>
      </c>
      <c r="E67" s="10" t="s">
        <v>155</v>
      </c>
      <c r="F67" s="10" t="s">
        <v>315</v>
      </c>
      <c r="G67" s="10" t="s">
        <v>300</v>
      </c>
      <c r="H67" s="10" t="str">
        <f aca="false">IF(G67="Deep","Master prompt",IF(G67="Targeted","Section prompt",IF(G67="Cite only","Claim-check prompt","")))</f>
        <v>Claim-check prompt</v>
      </c>
      <c r="I67" s="10" t="s">
        <v>228</v>
      </c>
      <c r="J67" s="11" t="s">
        <v>316</v>
      </c>
      <c r="K67" s="10" t="s">
        <v>303</v>
      </c>
      <c r="L67" s="11" t="s">
        <v>79</v>
      </c>
      <c r="M67" s="11"/>
    </row>
    <row r="68" customFormat="false" ht="23.85" hidden="false" customHeight="false" outlineLevel="0" collapsed="false">
      <c r="A68" s="10" t="n">
        <v>63</v>
      </c>
      <c r="B68" s="10" t="s">
        <v>49</v>
      </c>
      <c r="C68" s="10" t="s">
        <v>71</v>
      </c>
      <c r="D68" s="10" t="s">
        <v>317</v>
      </c>
      <c r="E68" s="10" t="s">
        <v>93</v>
      </c>
      <c r="F68" s="10" t="s">
        <v>94</v>
      </c>
      <c r="G68" s="10" t="s">
        <v>300</v>
      </c>
      <c r="H68" s="10" t="str">
        <f aca="false">IF(G68="Deep","Master prompt",IF(G68="Targeted","Section prompt",IF(G68="Cite only","Claim-check prompt","")))</f>
        <v>Claim-check prompt</v>
      </c>
      <c r="I68" s="10" t="s">
        <v>228</v>
      </c>
      <c r="J68" s="11" t="s">
        <v>318</v>
      </c>
      <c r="K68" s="10" t="s">
        <v>303</v>
      </c>
      <c r="L68" s="11" t="s">
        <v>94</v>
      </c>
      <c r="M68" s="11"/>
    </row>
    <row r="69" customFormat="false" ht="23.85" hidden="false" customHeight="false" outlineLevel="0" collapsed="false">
      <c r="A69" s="10" t="n">
        <v>64</v>
      </c>
      <c r="B69" s="10" t="s">
        <v>49</v>
      </c>
      <c r="C69" s="10" t="s">
        <v>71</v>
      </c>
      <c r="D69" s="10" t="s">
        <v>319</v>
      </c>
      <c r="E69" s="10" t="s">
        <v>93</v>
      </c>
      <c r="F69" s="10" t="s">
        <v>94</v>
      </c>
      <c r="G69" s="10" t="s">
        <v>300</v>
      </c>
      <c r="H69" s="10" t="str">
        <f aca="false">IF(G69="Deep","Master prompt",IF(G69="Targeted","Section prompt",IF(G69="Cite only","Claim-check prompt","")))</f>
        <v>Claim-check prompt</v>
      </c>
      <c r="I69" s="10" t="s">
        <v>228</v>
      </c>
      <c r="J69" s="11" t="s">
        <v>320</v>
      </c>
      <c r="K69" s="10" t="s">
        <v>303</v>
      </c>
      <c r="L69" s="11" t="s">
        <v>94</v>
      </c>
      <c r="M69" s="11"/>
    </row>
    <row r="70" customFormat="false" ht="23.85" hidden="false" customHeight="false" outlineLevel="0" collapsed="false">
      <c r="A70" s="10" t="n">
        <v>65</v>
      </c>
      <c r="B70" s="10" t="s">
        <v>49</v>
      </c>
      <c r="C70" s="10" t="s">
        <v>71</v>
      </c>
      <c r="D70" s="10" t="s">
        <v>321</v>
      </c>
      <c r="E70" s="10" t="s">
        <v>93</v>
      </c>
      <c r="F70" s="10" t="s">
        <v>94</v>
      </c>
      <c r="G70" s="10" t="s">
        <v>300</v>
      </c>
      <c r="H70" s="10" t="str">
        <f aca="false">IF(G70="Deep","Master prompt",IF(G70="Targeted","Section prompt",IF(G70="Cite only","Claim-check prompt","")))</f>
        <v>Claim-check prompt</v>
      </c>
      <c r="I70" s="10" t="s">
        <v>228</v>
      </c>
      <c r="J70" s="11" t="s">
        <v>322</v>
      </c>
      <c r="K70" s="10" t="s">
        <v>303</v>
      </c>
      <c r="L70" s="11" t="s">
        <v>94</v>
      </c>
      <c r="M70" s="11"/>
    </row>
    <row r="71" customFormat="false" ht="46.25" hidden="false" customHeight="false" outlineLevel="0" collapsed="false">
      <c r="A71" s="10" t="n">
        <v>66</v>
      </c>
      <c r="B71" s="10" t="s">
        <v>49</v>
      </c>
      <c r="C71" s="10" t="s">
        <v>71</v>
      </c>
      <c r="D71" s="10" t="s">
        <v>323</v>
      </c>
      <c r="E71" s="10" t="s">
        <v>155</v>
      </c>
      <c r="F71" s="10" t="s">
        <v>324</v>
      </c>
      <c r="G71" s="10" t="s">
        <v>300</v>
      </c>
      <c r="H71" s="10" t="str">
        <f aca="false">IF(G71="Deep","Master prompt",IF(G71="Targeted","Section prompt",IF(G71="Cite only","Claim-check prompt","")))</f>
        <v>Claim-check prompt</v>
      </c>
      <c r="I71" s="10" t="s">
        <v>228</v>
      </c>
      <c r="J71" s="11" t="s">
        <v>325</v>
      </c>
      <c r="K71" s="10" t="s">
        <v>303</v>
      </c>
      <c r="L71" s="11" t="s">
        <v>79</v>
      </c>
      <c r="M71" s="11"/>
    </row>
    <row r="72" customFormat="false" ht="35.05" hidden="false" customHeight="false" outlineLevel="0" collapsed="false">
      <c r="A72" s="10" t="n">
        <v>67</v>
      </c>
      <c r="B72" s="10" t="s">
        <v>49</v>
      </c>
      <c r="C72" s="10" t="s">
        <v>71</v>
      </c>
      <c r="D72" s="10" t="s">
        <v>326</v>
      </c>
      <c r="E72" s="10" t="s">
        <v>155</v>
      </c>
      <c r="F72" s="10" t="s">
        <v>327</v>
      </c>
      <c r="G72" s="10" t="s">
        <v>300</v>
      </c>
      <c r="H72" s="10" t="str">
        <f aca="false">IF(G72="Deep","Master prompt",IF(G72="Targeted","Section prompt",IF(G72="Cite only","Claim-check prompt","")))</f>
        <v>Claim-check prompt</v>
      </c>
      <c r="I72" s="10" t="s">
        <v>228</v>
      </c>
      <c r="J72" s="11" t="s">
        <v>328</v>
      </c>
      <c r="K72" s="10" t="s">
        <v>303</v>
      </c>
      <c r="L72" s="11" t="s">
        <v>79</v>
      </c>
      <c r="M72" s="11"/>
    </row>
    <row r="73" customFormat="false" ht="35.05" hidden="false" customHeight="false" outlineLevel="0" collapsed="false">
      <c r="A73" s="10" t="n">
        <v>68</v>
      </c>
      <c r="B73" s="10" t="s">
        <v>49</v>
      </c>
      <c r="C73" s="10" t="s">
        <v>71</v>
      </c>
      <c r="D73" s="10" t="s">
        <v>329</v>
      </c>
      <c r="E73" s="10" t="s">
        <v>155</v>
      </c>
      <c r="F73" s="10" t="s">
        <v>330</v>
      </c>
      <c r="G73" s="10" t="s">
        <v>300</v>
      </c>
      <c r="H73" s="10" t="str">
        <f aca="false">IF(G73="Deep","Master prompt",IF(G73="Targeted","Section prompt",IF(G73="Cite only","Claim-check prompt","")))</f>
        <v>Claim-check prompt</v>
      </c>
      <c r="I73" s="10" t="s">
        <v>238</v>
      </c>
      <c r="J73" s="11" t="s">
        <v>331</v>
      </c>
      <c r="K73" s="10" t="s">
        <v>303</v>
      </c>
      <c r="L73" s="11" t="s">
        <v>79</v>
      </c>
      <c r="M73" s="11"/>
    </row>
    <row r="74" customFormat="false" ht="35.05" hidden="false" customHeight="false" outlineLevel="0" collapsed="false">
      <c r="A74" s="10" t="n">
        <v>69</v>
      </c>
      <c r="B74" s="10" t="s">
        <v>49</v>
      </c>
      <c r="C74" s="10" t="s">
        <v>71</v>
      </c>
      <c r="D74" s="10" t="s">
        <v>332</v>
      </c>
      <c r="E74" s="10" t="s">
        <v>93</v>
      </c>
      <c r="F74" s="10" t="s">
        <v>94</v>
      </c>
      <c r="G74" s="10" t="s">
        <v>300</v>
      </c>
      <c r="H74" s="10" t="str">
        <f aca="false">IF(G74="Deep","Master prompt",IF(G74="Targeted","Section prompt",IF(G74="Cite only","Claim-check prompt","")))</f>
        <v>Claim-check prompt</v>
      </c>
      <c r="I74" s="10" t="s">
        <v>238</v>
      </c>
      <c r="J74" s="11" t="s">
        <v>333</v>
      </c>
      <c r="K74" s="10" t="s">
        <v>303</v>
      </c>
      <c r="L74" s="11" t="s">
        <v>94</v>
      </c>
      <c r="M74" s="11"/>
    </row>
    <row r="75" customFormat="false" ht="35.05" hidden="false" customHeight="false" outlineLevel="0" collapsed="false">
      <c r="A75" s="10" t="n">
        <v>70</v>
      </c>
      <c r="B75" s="10" t="s">
        <v>49</v>
      </c>
      <c r="C75" s="10" t="s">
        <v>71</v>
      </c>
      <c r="D75" s="10" t="s">
        <v>334</v>
      </c>
      <c r="E75" s="10" t="s">
        <v>335</v>
      </c>
      <c r="F75" s="10" t="s">
        <v>336</v>
      </c>
      <c r="G75" s="10" t="s">
        <v>300</v>
      </c>
      <c r="H75" s="10" t="str">
        <f aca="false">IF(G75="Deep","Master prompt",IF(G75="Targeted","Section prompt",IF(G75="Cite only","Claim-check prompt","")))</f>
        <v>Claim-check prompt</v>
      </c>
      <c r="I75" s="10" t="s">
        <v>294</v>
      </c>
      <c r="J75" s="11" t="s">
        <v>337</v>
      </c>
      <c r="K75" s="10" t="s">
        <v>303</v>
      </c>
      <c r="L75" s="11" t="s">
        <v>79</v>
      </c>
      <c r="M75" s="11"/>
    </row>
    <row r="76" customFormat="false" ht="23.85" hidden="false" customHeight="false" outlineLevel="0" collapsed="false">
      <c r="A76" s="10" t="n">
        <v>71</v>
      </c>
      <c r="B76" s="10" t="s">
        <v>49</v>
      </c>
      <c r="C76" s="10" t="s">
        <v>71</v>
      </c>
      <c r="D76" s="10" t="s">
        <v>338</v>
      </c>
      <c r="E76" s="10" t="s">
        <v>339</v>
      </c>
      <c r="F76" s="10" t="s">
        <v>340</v>
      </c>
      <c r="G76" s="10" t="s">
        <v>300</v>
      </c>
      <c r="H76" s="10" t="str">
        <f aca="false">IF(G76="Deep","Master prompt",IF(G76="Targeted","Section prompt",IF(G76="Cite only","Claim-check prompt","")))</f>
        <v>Claim-check prompt</v>
      </c>
      <c r="I76" s="10" t="s">
        <v>294</v>
      </c>
      <c r="J76" s="11" t="s">
        <v>341</v>
      </c>
      <c r="K76" s="10" t="s">
        <v>303</v>
      </c>
      <c r="L76" s="11" t="s">
        <v>79</v>
      </c>
      <c r="M76" s="11"/>
    </row>
    <row r="77" customFormat="false" ht="23.85" hidden="false" customHeight="false" outlineLevel="0" collapsed="false">
      <c r="A77" s="10" t="n">
        <v>72</v>
      </c>
      <c r="B77" s="10" t="s">
        <v>49</v>
      </c>
      <c r="C77" s="10" t="s">
        <v>71</v>
      </c>
      <c r="D77" s="10" t="s">
        <v>342</v>
      </c>
      <c r="E77" s="10" t="s">
        <v>343</v>
      </c>
      <c r="F77" s="10" t="s">
        <v>344</v>
      </c>
      <c r="G77" s="10" t="s">
        <v>300</v>
      </c>
      <c r="H77" s="10" t="str">
        <f aca="false">IF(G77="Deep","Master prompt",IF(G77="Targeted","Section prompt",IF(G77="Cite only","Claim-check prompt","")))</f>
        <v>Claim-check prompt</v>
      </c>
      <c r="I77" s="10" t="s">
        <v>294</v>
      </c>
      <c r="J77" s="11" t="s">
        <v>345</v>
      </c>
      <c r="K77" s="10" t="s">
        <v>303</v>
      </c>
      <c r="L77" s="11" t="s">
        <v>79</v>
      </c>
      <c r="M77" s="11"/>
    </row>
    <row r="78" customFormat="false" ht="35.05" hidden="false" customHeight="false" outlineLevel="0" collapsed="false">
      <c r="A78" s="10" t="n">
        <v>73</v>
      </c>
      <c r="B78" s="10" t="s">
        <v>49</v>
      </c>
      <c r="C78" s="10" t="s">
        <v>71</v>
      </c>
      <c r="D78" s="10" t="s">
        <v>346</v>
      </c>
      <c r="E78" s="10" t="s">
        <v>347</v>
      </c>
      <c r="F78" s="10" t="s">
        <v>348</v>
      </c>
      <c r="G78" s="10" t="s">
        <v>300</v>
      </c>
      <c r="H78" s="10" t="str">
        <f aca="false">IF(G78="Deep","Master prompt",IF(G78="Targeted","Section prompt",IF(G78="Cite only","Claim-check prompt","")))</f>
        <v>Claim-check prompt</v>
      </c>
      <c r="I78" s="10" t="s">
        <v>349</v>
      </c>
      <c r="J78" s="11" t="s">
        <v>350</v>
      </c>
      <c r="K78" s="10" t="s">
        <v>303</v>
      </c>
      <c r="L78" s="11" t="s">
        <v>79</v>
      </c>
      <c r="M78" s="11"/>
    </row>
    <row r="79" customFormat="false" ht="35.05" hidden="false" customHeight="false" outlineLevel="0" collapsed="false">
      <c r="A79" s="10" t="n">
        <v>74</v>
      </c>
      <c r="B79" s="10" t="s">
        <v>49</v>
      </c>
      <c r="C79" s="10" t="s">
        <v>71</v>
      </c>
      <c r="D79" s="10" t="s">
        <v>351</v>
      </c>
      <c r="E79" s="10" t="s">
        <v>352</v>
      </c>
      <c r="F79" s="10" t="s">
        <v>353</v>
      </c>
      <c r="G79" s="10" t="s">
        <v>300</v>
      </c>
      <c r="H79" s="10" t="str">
        <f aca="false">IF(G79="Deep","Master prompt",IF(G79="Targeted","Section prompt",IF(G79="Cite only","Claim-check prompt","")))</f>
        <v>Claim-check prompt</v>
      </c>
      <c r="I79" s="10" t="s">
        <v>294</v>
      </c>
      <c r="J79" s="11" t="s">
        <v>354</v>
      </c>
      <c r="K79" s="10" t="s">
        <v>303</v>
      </c>
      <c r="L79" s="11" t="s">
        <v>79</v>
      </c>
      <c r="M79" s="11"/>
    </row>
    <row r="80" customFormat="false" ht="35.05" hidden="false" customHeight="false" outlineLevel="0" collapsed="false">
      <c r="A80" s="10" t="n">
        <v>75</v>
      </c>
      <c r="B80" s="10" t="s">
        <v>49</v>
      </c>
      <c r="C80" s="10" t="s">
        <v>71</v>
      </c>
      <c r="D80" s="10" t="s">
        <v>355</v>
      </c>
      <c r="E80" s="10" t="s">
        <v>356</v>
      </c>
      <c r="F80" s="10" t="s">
        <v>357</v>
      </c>
      <c r="G80" s="10" t="s">
        <v>300</v>
      </c>
      <c r="H80" s="10" t="str">
        <f aca="false">IF(G80="Deep","Master prompt",IF(G80="Targeted","Section prompt",IF(G80="Cite only","Claim-check prompt","")))</f>
        <v>Claim-check prompt</v>
      </c>
      <c r="I80" s="10" t="s">
        <v>294</v>
      </c>
      <c r="J80" s="11" t="s">
        <v>358</v>
      </c>
      <c r="K80" s="10" t="s">
        <v>303</v>
      </c>
      <c r="L80" s="11" t="s">
        <v>79</v>
      </c>
      <c r="M80" s="11"/>
    </row>
    <row r="81" customFormat="false" ht="35.05" hidden="false" customHeight="false" outlineLevel="0" collapsed="false">
      <c r="A81" s="10" t="n">
        <v>76</v>
      </c>
      <c r="B81" s="10" t="s">
        <v>49</v>
      </c>
      <c r="C81" s="10" t="s">
        <v>71</v>
      </c>
      <c r="D81" s="10" t="s">
        <v>359</v>
      </c>
      <c r="E81" s="10" t="s">
        <v>93</v>
      </c>
      <c r="F81" s="10" t="s">
        <v>94</v>
      </c>
      <c r="G81" s="10" t="s">
        <v>300</v>
      </c>
      <c r="H81" s="10" t="str">
        <f aca="false">IF(G81="Deep","Master prompt",IF(G81="Targeted","Section prompt",IF(G81="Cite only","Claim-check prompt","")))</f>
        <v>Claim-check prompt</v>
      </c>
      <c r="I81" s="10" t="s">
        <v>294</v>
      </c>
      <c r="J81" s="11" t="s">
        <v>360</v>
      </c>
      <c r="K81" s="10" t="s">
        <v>303</v>
      </c>
      <c r="L81" s="11" t="s">
        <v>94</v>
      </c>
      <c r="M81" s="11"/>
    </row>
    <row r="82" customFormat="false" ht="35.05" hidden="false" customHeight="false" outlineLevel="0" collapsed="false">
      <c r="A82" s="10" t="n">
        <v>77</v>
      </c>
      <c r="B82" s="10" t="s">
        <v>49</v>
      </c>
      <c r="C82" s="10" t="s">
        <v>71</v>
      </c>
      <c r="D82" s="10" t="s">
        <v>361</v>
      </c>
      <c r="E82" s="10" t="s">
        <v>93</v>
      </c>
      <c r="F82" s="10" t="s">
        <v>94</v>
      </c>
      <c r="G82" s="10" t="s">
        <v>300</v>
      </c>
      <c r="H82" s="10" t="str">
        <f aca="false">IF(G82="Deep","Master prompt",IF(G82="Targeted","Section prompt",IF(G82="Cite only","Claim-check prompt","")))</f>
        <v>Claim-check prompt</v>
      </c>
      <c r="I82" s="10" t="s">
        <v>294</v>
      </c>
      <c r="J82" s="11" t="s">
        <v>362</v>
      </c>
      <c r="K82" s="10" t="s">
        <v>303</v>
      </c>
      <c r="L82" s="11" t="s">
        <v>94</v>
      </c>
      <c r="M82" s="11"/>
    </row>
    <row r="83" customFormat="false" ht="23.85" hidden="false" customHeight="false" outlineLevel="0" collapsed="false">
      <c r="A83" s="10" t="n">
        <v>78</v>
      </c>
      <c r="B83" s="10" t="s">
        <v>49</v>
      </c>
      <c r="C83" s="10" t="s">
        <v>71</v>
      </c>
      <c r="D83" s="10" t="s">
        <v>363</v>
      </c>
      <c r="E83" s="10" t="s">
        <v>93</v>
      </c>
      <c r="F83" s="10" t="s">
        <v>94</v>
      </c>
      <c r="G83" s="10" t="s">
        <v>300</v>
      </c>
      <c r="H83" s="10" t="str">
        <f aca="false">IF(G83="Deep","Master prompt",IF(G83="Targeted","Section prompt",IF(G83="Cite only","Claim-check prompt","")))</f>
        <v>Claim-check prompt</v>
      </c>
      <c r="I83" s="10" t="s">
        <v>167</v>
      </c>
      <c r="J83" s="11" t="s">
        <v>364</v>
      </c>
      <c r="K83" s="10" t="s">
        <v>303</v>
      </c>
      <c r="L83" s="11" t="s">
        <v>94</v>
      </c>
      <c r="M83" s="11"/>
    </row>
    <row r="84" customFormat="false" ht="46.25" hidden="false" customHeight="false" outlineLevel="0" collapsed="false">
      <c r="A84" s="10" t="n">
        <v>79</v>
      </c>
      <c r="B84" s="10" t="s">
        <v>49</v>
      </c>
      <c r="C84" s="10" t="s">
        <v>71</v>
      </c>
      <c r="D84" s="10" t="s">
        <v>365</v>
      </c>
      <c r="E84" s="10" t="s">
        <v>93</v>
      </c>
      <c r="F84" s="10" t="s">
        <v>94</v>
      </c>
      <c r="G84" s="10" t="s">
        <v>300</v>
      </c>
      <c r="H84" s="10" t="str">
        <f aca="false">IF(G84="Deep","Master prompt",IF(G84="Targeted","Section prompt",IF(G84="Cite only","Claim-check prompt","")))</f>
        <v>Claim-check prompt</v>
      </c>
      <c r="I84" s="10" t="s">
        <v>167</v>
      </c>
      <c r="J84" s="11" t="s">
        <v>366</v>
      </c>
      <c r="K84" s="10" t="s">
        <v>303</v>
      </c>
      <c r="L84" s="11" t="s">
        <v>94</v>
      </c>
      <c r="M84" s="11"/>
    </row>
    <row r="85" customFormat="false" ht="23.85" hidden="false" customHeight="false" outlineLevel="0" collapsed="false">
      <c r="A85" s="10" t="n">
        <v>80</v>
      </c>
      <c r="B85" s="10" t="s">
        <v>49</v>
      </c>
      <c r="C85" s="10" t="s">
        <v>71</v>
      </c>
      <c r="D85" s="10" t="s">
        <v>367</v>
      </c>
      <c r="E85" s="10" t="s">
        <v>93</v>
      </c>
      <c r="F85" s="10" t="s">
        <v>94</v>
      </c>
      <c r="G85" s="10" t="s">
        <v>300</v>
      </c>
      <c r="H85" s="10" t="str">
        <f aca="false">IF(G85="Deep","Master prompt",IF(G85="Targeted","Section prompt",IF(G85="Cite only","Claim-check prompt","")))</f>
        <v>Claim-check prompt</v>
      </c>
      <c r="I85" s="10" t="s">
        <v>167</v>
      </c>
      <c r="J85" s="11" t="s">
        <v>368</v>
      </c>
      <c r="K85" s="10" t="s">
        <v>303</v>
      </c>
      <c r="L85" s="11" t="s">
        <v>94</v>
      </c>
      <c r="M85" s="11"/>
    </row>
    <row r="86" customFormat="false" ht="35.05" hidden="false" customHeight="false" outlineLevel="0" collapsed="false">
      <c r="A86" s="10" t="n">
        <v>81</v>
      </c>
      <c r="B86" s="10" t="s">
        <v>49</v>
      </c>
      <c r="C86" s="10" t="s">
        <v>71</v>
      </c>
      <c r="D86" s="10" t="s">
        <v>369</v>
      </c>
      <c r="E86" s="10" t="s">
        <v>155</v>
      </c>
      <c r="F86" s="10" t="s">
        <v>370</v>
      </c>
      <c r="G86" s="10" t="s">
        <v>300</v>
      </c>
      <c r="H86" s="10" t="str">
        <f aca="false">IF(G86="Deep","Master prompt",IF(G86="Targeted","Section prompt",IF(G86="Cite only","Claim-check prompt","")))</f>
        <v>Claim-check prompt</v>
      </c>
      <c r="I86" s="10" t="s">
        <v>167</v>
      </c>
      <c r="J86" s="11" t="s">
        <v>371</v>
      </c>
      <c r="K86" s="10" t="s">
        <v>303</v>
      </c>
      <c r="L86" s="11" t="s">
        <v>79</v>
      </c>
      <c r="M86" s="11"/>
    </row>
    <row r="87" customFormat="false" ht="35.05" hidden="false" customHeight="false" outlineLevel="0" collapsed="false">
      <c r="A87" s="10" t="n">
        <v>82</v>
      </c>
      <c r="B87" s="10" t="s">
        <v>49</v>
      </c>
      <c r="C87" s="10" t="s">
        <v>71</v>
      </c>
      <c r="D87" s="10" t="s">
        <v>372</v>
      </c>
      <c r="E87" s="10" t="s">
        <v>373</v>
      </c>
      <c r="F87" s="10" t="s">
        <v>374</v>
      </c>
      <c r="G87" s="10" t="s">
        <v>300</v>
      </c>
      <c r="H87" s="10" t="str">
        <f aca="false">IF(G87="Deep","Master prompt",IF(G87="Targeted","Section prompt",IF(G87="Cite only","Claim-check prompt","")))</f>
        <v>Claim-check prompt</v>
      </c>
      <c r="I87" s="10" t="s">
        <v>238</v>
      </c>
      <c r="J87" s="11" t="s">
        <v>375</v>
      </c>
      <c r="K87" s="10" t="s">
        <v>303</v>
      </c>
      <c r="L87" s="11" t="s">
        <v>79</v>
      </c>
      <c r="M87" s="11"/>
    </row>
    <row r="88" customFormat="false" ht="23.85" hidden="false" customHeight="false" outlineLevel="0" collapsed="false">
      <c r="A88" s="10" t="n">
        <v>83</v>
      </c>
      <c r="B88" s="10" t="s">
        <v>49</v>
      </c>
      <c r="C88" s="10" t="s">
        <v>71</v>
      </c>
      <c r="D88" s="10" t="s">
        <v>376</v>
      </c>
      <c r="E88" s="10" t="s">
        <v>155</v>
      </c>
      <c r="F88" s="10" t="s">
        <v>377</v>
      </c>
      <c r="G88" s="10" t="s">
        <v>300</v>
      </c>
      <c r="H88" s="10" t="str">
        <f aca="false">IF(G88="Deep","Master prompt",IF(G88="Targeted","Section prompt",IF(G88="Cite only","Claim-check prompt","")))</f>
        <v>Claim-check prompt</v>
      </c>
      <c r="I88" s="10" t="s">
        <v>270</v>
      </c>
      <c r="J88" s="11" t="s">
        <v>378</v>
      </c>
      <c r="K88" s="10" t="s">
        <v>303</v>
      </c>
      <c r="L88" s="11" t="s">
        <v>79</v>
      </c>
      <c r="M88" s="11"/>
    </row>
    <row r="89" customFormat="false" ht="46.25" hidden="false" customHeight="false" outlineLevel="0" collapsed="false">
      <c r="A89" s="10" t="n">
        <v>84</v>
      </c>
      <c r="B89" s="10" t="s">
        <v>49</v>
      </c>
      <c r="C89" s="10" t="s">
        <v>71</v>
      </c>
      <c r="D89" s="10" t="s">
        <v>379</v>
      </c>
      <c r="E89" s="10" t="s">
        <v>155</v>
      </c>
      <c r="F89" s="10" t="s">
        <v>380</v>
      </c>
      <c r="G89" s="10" t="s">
        <v>300</v>
      </c>
      <c r="H89" s="10" t="str">
        <f aca="false">IF(G89="Deep","Master prompt",IF(G89="Targeted","Section prompt",IF(G89="Cite only","Claim-check prompt","")))</f>
        <v>Claim-check prompt</v>
      </c>
      <c r="I89" s="10" t="s">
        <v>270</v>
      </c>
      <c r="J89" s="11" t="s">
        <v>381</v>
      </c>
      <c r="K89" s="10" t="s">
        <v>303</v>
      </c>
      <c r="L89" s="11" t="s">
        <v>79</v>
      </c>
      <c r="M89" s="11"/>
    </row>
    <row r="90" customFormat="false" ht="35.05" hidden="false" customHeight="false" outlineLevel="0" collapsed="false">
      <c r="A90" s="10" t="n">
        <v>85</v>
      </c>
      <c r="B90" s="10" t="s">
        <v>49</v>
      </c>
      <c r="C90" s="10" t="s">
        <v>71</v>
      </c>
      <c r="D90" s="10" t="s">
        <v>382</v>
      </c>
      <c r="E90" s="10" t="s">
        <v>93</v>
      </c>
      <c r="F90" s="10" t="s">
        <v>94</v>
      </c>
      <c r="G90" s="10" t="s">
        <v>300</v>
      </c>
      <c r="H90" s="10" t="str">
        <f aca="false">IF(G90="Deep","Master prompt",IF(G90="Targeted","Section prompt",IF(G90="Cite only","Claim-check prompt","")))</f>
        <v>Claim-check prompt</v>
      </c>
      <c r="I90" s="10" t="s">
        <v>270</v>
      </c>
      <c r="J90" s="11" t="s">
        <v>383</v>
      </c>
      <c r="K90" s="10" t="s">
        <v>303</v>
      </c>
      <c r="L90" s="11" t="s">
        <v>94</v>
      </c>
      <c r="M90" s="11"/>
    </row>
    <row r="91" customFormat="false" ht="35.05" hidden="false" customHeight="false" outlineLevel="0" collapsed="false">
      <c r="A91" s="10" t="n">
        <v>86</v>
      </c>
      <c r="B91" s="10" t="s">
        <v>49</v>
      </c>
      <c r="C91" s="10" t="s">
        <v>71</v>
      </c>
      <c r="D91" s="10" t="s">
        <v>384</v>
      </c>
      <c r="E91" s="10" t="s">
        <v>93</v>
      </c>
      <c r="F91" s="10" t="s">
        <v>94</v>
      </c>
      <c r="G91" s="10" t="s">
        <v>300</v>
      </c>
      <c r="H91" s="10" t="str">
        <f aca="false">IF(G91="Deep","Master prompt",IF(G91="Targeted","Section prompt",IF(G91="Cite only","Claim-check prompt","")))</f>
        <v>Claim-check prompt</v>
      </c>
      <c r="I91" s="10" t="s">
        <v>270</v>
      </c>
      <c r="J91" s="11" t="s">
        <v>385</v>
      </c>
      <c r="K91" s="10" t="s">
        <v>303</v>
      </c>
      <c r="L91" s="11" t="s">
        <v>94</v>
      </c>
      <c r="M91" s="11"/>
    </row>
    <row r="92" customFormat="false" ht="35.05" hidden="false" customHeight="false" outlineLevel="0" collapsed="false">
      <c r="A92" s="10" t="n">
        <v>87</v>
      </c>
      <c r="B92" s="10" t="s">
        <v>49</v>
      </c>
      <c r="C92" s="10" t="s">
        <v>71</v>
      </c>
      <c r="D92" s="10" t="s">
        <v>386</v>
      </c>
      <c r="E92" s="10" t="s">
        <v>387</v>
      </c>
      <c r="F92" s="10" t="s">
        <v>388</v>
      </c>
      <c r="G92" s="10" t="s">
        <v>300</v>
      </c>
      <c r="H92" s="10" t="str">
        <f aca="false">IF(G92="Deep","Master prompt",IF(G92="Targeted","Section prompt",IF(G92="Cite only","Claim-check prompt","")))</f>
        <v>Claim-check prompt</v>
      </c>
      <c r="I92" s="10" t="s">
        <v>238</v>
      </c>
      <c r="J92" s="11" t="s">
        <v>389</v>
      </c>
      <c r="K92" s="10" t="s">
        <v>303</v>
      </c>
      <c r="L92" s="11" t="s">
        <v>79</v>
      </c>
      <c r="M92" s="11"/>
    </row>
    <row r="93" customFormat="false" ht="35.05" hidden="false" customHeight="false" outlineLevel="0" collapsed="false">
      <c r="A93" s="10" t="n">
        <v>88</v>
      </c>
      <c r="B93" s="10" t="s">
        <v>49</v>
      </c>
      <c r="C93" s="10" t="s">
        <v>71</v>
      </c>
      <c r="D93" s="10" t="s">
        <v>390</v>
      </c>
      <c r="E93" s="10" t="s">
        <v>391</v>
      </c>
      <c r="F93" s="10" t="s">
        <v>392</v>
      </c>
      <c r="G93" s="10" t="s">
        <v>300</v>
      </c>
      <c r="H93" s="10" t="str">
        <f aca="false">IF(G93="Deep","Master prompt",IF(G93="Targeted","Section prompt",IF(G93="Cite only","Claim-check prompt","")))</f>
        <v>Claim-check prompt</v>
      </c>
      <c r="I93" s="10" t="s">
        <v>270</v>
      </c>
      <c r="J93" s="11" t="s">
        <v>393</v>
      </c>
      <c r="K93" s="10" t="s">
        <v>303</v>
      </c>
      <c r="L93" s="11" t="s">
        <v>79</v>
      </c>
      <c r="M93" s="11"/>
    </row>
    <row r="94" customFormat="false" ht="46.25" hidden="false" customHeight="false" outlineLevel="0" collapsed="false">
      <c r="A94" s="10" t="n">
        <v>89</v>
      </c>
      <c r="B94" s="10" t="s">
        <v>49</v>
      </c>
      <c r="C94" s="10" t="s">
        <v>71</v>
      </c>
      <c r="D94" s="10" t="s">
        <v>394</v>
      </c>
      <c r="E94" s="10" t="s">
        <v>395</v>
      </c>
      <c r="F94" s="10" t="s">
        <v>396</v>
      </c>
      <c r="G94" s="10" t="s">
        <v>300</v>
      </c>
      <c r="H94" s="10" t="str">
        <f aca="false">IF(G94="Deep","Master prompt",IF(G94="Targeted","Section prompt",IF(G94="Cite only","Claim-check prompt","")))</f>
        <v>Claim-check prompt</v>
      </c>
      <c r="I94" s="10" t="s">
        <v>238</v>
      </c>
      <c r="J94" s="11" t="s">
        <v>397</v>
      </c>
      <c r="K94" s="10" t="s">
        <v>303</v>
      </c>
      <c r="L94" s="11" t="s">
        <v>79</v>
      </c>
      <c r="M94" s="11"/>
    </row>
    <row r="95" customFormat="false" ht="35.05" hidden="false" customHeight="false" outlineLevel="0" collapsed="false">
      <c r="A95" s="10" t="n">
        <v>90</v>
      </c>
      <c r="B95" s="10" t="s">
        <v>49</v>
      </c>
      <c r="C95" s="10" t="s">
        <v>71</v>
      </c>
      <c r="D95" s="10" t="s">
        <v>398</v>
      </c>
      <c r="E95" s="10" t="s">
        <v>399</v>
      </c>
      <c r="F95" s="10" t="s">
        <v>400</v>
      </c>
      <c r="G95" s="10" t="s">
        <v>300</v>
      </c>
      <c r="H95" s="10" t="str">
        <f aca="false">IF(G95="Deep","Master prompt",IF(G95="Targeted","Section prompt",IF(G95="Cite only","Claim-check prompt","")))</f>
        <v>Claim-check prompt</v>
      </c>
      <c r="I95" s="10" t="s">
        <v>219</v>
      </c>
      <c r="J95" s="11" t="s">
        <v>401</v>
      </c>
      <c r="K95" s="10" t="s">
        <v>303</v>
      </c>
      <c r="L95" s="11" t="s">
        <v>79</v>
      </c>
      <c r="M95" s="11"/>
    </row>
    <row r="96" customFormat="false" ht="35.05" hidden="false" customHeight="false" outlineLevel="0" collapsed="false">
      <c r="A96" s="10" t="n">
        <v>91</v>
      </c>
      <c r="B96" s="10" t="s">
        <v>49</v>
      </c>
      <c r="C96" s="10" t="s">
        <v>71</v>
      </c>
      <c r="D96" s="10" t="s">
        <v>402</v>
      </c>
      <c r="E96" s="10" t="s">
        <v>403</v>
      </c>
      <c r="F96" s="10" t="s">
        <v>404</v>
      </c>
      <c r="G96" s="10" t="s">
        <v>300</v>
      </c>
      <c r="H96" s="10" t="str">
        <f aca="false">IF(G96="Deep","Master prompt",IF(G96="Targeted","Section prompt",IF(G96="Cite only","Claim-check prompt","")))</f>
        <v>Claim-check prompt</v>
      </c>
      <c r="I96" s="10" t="s">
        <v>219</v>
      </c>
      <c r="J96" s="11" t="s">
        <v>405</v>
      </c>
      <c r="K96" s="10" t="s">
        <v>303</v>
      </c>
      <c r="L96" s="11" t="s">
        <v>79</v>
      </c>
      <c r="M96" s="11"/>
    </row>
    <row r="97" customFormat="false" ht="23.85" hidden="false" customHeight="false" outlineLevel="0" collapsed="false">
      <c r="A97" s="10" t="n">
        <v>92</v>
      </c>
      <c r="B97" s="10" t="s">
        <v>49</v>
      </c>
      <c r="C97" s="10" t="s">
        <v>71</v>
      </c>
      <c r="D97" s="10" t="s">
        <v>406</v>
      </c>
      <c r="E97" s="10" t="s">
        <v>93</v>
      </c>
      <c r="F97" s="10" t="s">
        <v>94</v>
      </c>
      <c r="G97" s="10" t="s">
        <v>300</v>
      </c>
      <c r="H97" s="10" t="str">
        <f aca="false">IF(G97="Deep","Master prompt",IF(G97="Targeted","Section prompt",IF(G97="Cite only","Claim-check prompt","")))</f>
        <v>Claim-check prompt</v>
      </c>
      <c r="I97" s="10" t="s">
        <v>238</v>
      </c>
      <c r="J97" s="11" t="s">
        <v>407</v>
      </c>
      <c r="K97" s="10" t="s">
        <v>303</v>
      </c>
      <c r="L97" s="11" t="s">
        <v>94</v>
      </c>
      <c r="M97" s="11"/>
    </row>
    <row r="98" customFormat="false" ht="35.05" hidden="false" customHeight="false" outlineLevel="0" collapsed="false">
      <c r="A98" s="10" t="n">
        <v>93</v>
      </c>
      <c r="B98" s="10" t="s">
        <v>49</v>
      </c>
      <c r="C98" s="10" t="s">
        <v>71</v>
      </c>
      <c r="D98" s="10" t="s">
        <v>408</v>
      </c>
      <c r="E98" s="10" t="s">
        <v>93</v>
      </c>
      <c r="F98" s="10" t="s">
        <v>94</v>
      </c>
      <c r="G98" s="10" t="s">
        <v>300</v>
      </c>
      <c r="H98" s="10" t="str">
        <f aca="false">IF(G98="Deep","Master prompt",IF(G98="Targeted","Section prompt",IF(G98="Cite only","Claim-check prompt","")))</f>
        <v>Claim-check prompt</v>
      </c>
      <c r="I98" s="10" t="s">
        <v>238</v>
      </c>
      <c r="J98" s="11" t="s">
        <v>409</v>
      </c>
      <c r="K98" s="10" t="s">
        <v>303</v>
      </c>
      <c r="L98" s="11" t="s">
        <v>94</v>
      </c>
      <c r="M98" s="11"/>
    </row>
    <row r="99" customFormat="false" ht="35.05" hidden="false" customHeight="false" outlineLevel="0" collapsed="false">
      <c r="A99" s="10" t="n">
        <v>94</v>
      </c>
      <c r="B99" s="10" t="s">
        <v>49</v>
      </c>
      <c r="C99" s="10" t="s">
        <v>71</v>
      </c>
      <c r="D99" s="10" t="s">
        <v>410</v>
      </c>
      <c r="E99" s="10" t="s">
        <v>93</v>
      </c>
      <c r="F99" s="10" t="s">
        <v>94</v>
      </c>
      <c r="G99" s="10" t="s">
        <v>300</v>
      </c>
      <c r="H99" s="10" t="str">
        <f aca="false">IF(G99="Deep","Master prompt",IF(G99="Targeted","Section prompt",IF(G99="Cite only","Claim-check prompt","")))</f>
        <v>Claim-check prompt</v>
      </c>
      <c r="I99" s="10" t="s">
        <v>238</v>
      </c>
      <c r="J99" s="11" t="s">
        <v>411</v>
      </c>
      <c r="K99" s="10" t="s">
        <v>303</v>
      </c>
      <c r="L99" s="11" t="s">
        <v>94</v>
      </c>
      <c r="M99" s="11"/>
    </row>
    <row r="100" customFormat="false" ht="35.05" hidden="false" customHeight="false" outlineLevel="0" collapsed="false">
      <c r="A100" s="10" t="n">
        <v>95</v>
      </c>
      <c r="B100" s="10" t="s">
        <v>49</v>
      </c>
      <c r="C100" s="10" t="s">
        <v>71</v>
      </c>
      <c r="D100" s="10" t="s">
        <v>412</v>
      </c>
      <c r="E100" s="10" t="s">
        <v>155</v>
      </c>
      <c r="F100" s="10" t="s">
        <v>413</v>
      </c>
      <c r="G100" s="10" t="s">
        <v>300</v>
      </c>
      <c r="H100" s="10" t="str">
        <f aca="false">IF(G100="Deep","Master prompt",IF(G100="Targeted","Section prompt",IF(G100="Cite only","Claim-check prompt","")))</f>
        <v>Claim-check prompt</v>
      </c>
      <c r="I100" s="10" t="s">
        <v>282</v>
      </c>
      <c r="J100" s="11" t="s">
        <v>414</v>
      </c>
      <c r="K100" s="10" t="s">
        <v>303</v>
      </c>
      <c r="L100" s="11" t="s">
        <v>79</v>
      </c>
      <c r="M100" s="11"/>
    </row>
    <row r="101" customFormat="false" ht="35.05" hidden="false" customHeight="false" outlineLevel="0" collapsed="false">
      <c r="A101" s="10" t="n">
        <v>96</v>
      </c>
      <c r="B101" s="10" t="s">
        <v>49</v>
      </c>
      <c r="C101" s="10" t="s">
        <v>71</v>
      </c>
      <c r="D101" s="10" t="s">
        <v>415</v>
      </c>
      <c r="E101" s="10" t="s">
        <v>416</v>
      </c>
      <c r="F101" s="10" t="s">
        <v>417</v>
      </c>
      <c r="G101" s="10" t="s">
        <v>300</v>
      </c>
      <c r="H101" s="10" t="str">
        <f aca="false">IF(G101="Deep","Master prompt",IF(G101="Targeted","Section prompt",IF(G101="Cite only","Claim-check prompt","")))</f>
        <v>Claim-check prompt</v>
      </c>
      <c r="I101" s="10" t="s">
        <v>282</v>
      </c>
      <c r="J101" s="11" t="s">
        <v>418</v>
      </c>
      <c r="K101" s="10" t="s">
        <v>303</v>
      </c>
      <c r="L101" s="11" t="s">
        <v>79</v>
      </c>
      <c r="M101" s="11"/>
    </row>
    <row r="102" customFormat="false" ht="35.05" hidden="false" customHeight="false" outlineLevel="0" collapsed="false">
      <c r="A102" s="10" t="n">
        <v>97</v>
      </c>
      <c r="B102" s="10" t="s">
        <v>49</v>
      </c>
      <c r="C102" s="10" t="s">
        <v>71</v>
      </c>
      <c r="D102" s="10" t="s">
        <v>419</v>
      </c>
      <c r="E102" s="10" t="s">
        <v>420</v>
      </c>
      <c r="F102" s="10" t="s">
        <v>421</v>
      </c>
      <c r="G102" s="10" t="s">
        <v>300</v>
      </c>
      <c r="H102" s="10" t="str">
        <f aca="false">IF(G102="Deep","Master prompt",IF(G102="Targeted","Section prompt",IF(G102="Cite only","Claim-check prompt","")))</f>
        <v>Claim-check prompt</v>
      </c>
      <c r="I102" s="10" t="s">
        <v>282</v>
      </c>
      <c r="J102" s="11" t="s">
        <v>422</v>
      </c>
      <c r="K102" s="10" t="s">
        <v>303</v>
      </c>
      <c r="L102" s="11" t="s">
        <v>79</v>
      </c>
      <c r="M102" s="11"/>
    </row>
    <row r="103" customFormat="false" ht="23.85" hidden="false" customHeight="false" outlineLevel="0" collapsed="false">
      <c r="A103" s="10" t="n">
        <v>98</v>
      </c>
      <c r="B103" s="10" t="s">
        <v>49</v>
      </c>
      <c r="C103" s="10" t="s">
        <v>71</v>
      </c>
      <c r="D103" s="10" t="s">
        <v>423</v>
      </c>
      <c r="E103" s="10" t="s">
        <v>93</v>
      </c>
      <c r="F103" s="10" t="s">
        <v>94</v>
      </c>
      <c r="G103" s="10" t="s">
        <v>300</v>
      </c>
      <c r="H103" s="10" t="str">
        <f aca="false">IF(G103="Deep","Master prompt",IF(G103="Targeted","Section prompt",IF(G103="Cite only","Claim-check prompt","")))</f>
        <v>Claim-check prompt</v>
      </c>
      <c r="I103" s="10" t="s">
        <v>282</v>
      </c>
      <c r="J103" s="11" t="s">
        <v>424</v>
      </c>
      <c r="K103" s="10" t="s">
        <v>303</v>
      </c>
      <c r="L103" s="11" t="s">
        <v>94</v>
      </c>
      <c r="M103" s="11"/>
    </row>
    <row r="104" customFormat="false" ht="35.05" hidden="false" customHeight="false" outlineLevel="0" collapsed="false">
      <c r="A104" s="10" t="n">
        <v>99</v>
      </c>
      <c r="B104" s="10" t="s">
        <v>49</v>
      </c>
      <c r="C104" s="10" t="s">
        <v>71</v>
      </c>
      <c r="D104" s="10" t="s">
        <v>425</v>
      </c>
      <c r="E104" s="10" t="s">
        <v>93</v>
      </c>
      <c r="F104" s="10" t="s">
        <v>94</v>
      </c>
      <c r="G104" s="10" t="s">
        <v>300</v>
      </c>
      <c r="H104" s="10" t="str">
        <f aca="false">IF(G104="Deep","Master prompt",IF(G104="Targeted","Section prompt",IF(G104="Cite only","Claim-check prompt","")))</f>
        <v>Claim-check prompt</v>
      </c>
      <c r="I104" s="10" t="s">
        <v>282</v>
      </c>
      <c r="J104" s="11" t="s">
        <v>426</v>
      </c>
      <c r="K104" s="10" t="s">
        <v>303</v>
      </c>
      <c r="L104" s="11" t="s">
        <v>94</v>
      </c>
      <c r="M104" s="11"/>
    </row>
    <row r="105" customFormat="false" ht="23.85" hidden="false" customHeight="false" outlineLevel="0" collapsed="false">
      <c r="A105" s="10" t="n">
        <v>100</v>
      </c>
      <c r="B105" s="10" t="s">
        <v>49</v>
      </c>
      <c r="C105" s="10" t="s">
        <v>71</v>
      </c>
      <c r="D105" s="10" t="s">
        <v>427</v>
      </c>
      <c r="E105" s="10" t="s">
        <v>428</v>
      </c>
      <c r="F105" s="10" t="s">
        <v>429</v>
      </c>
      <c r="G105" s="10" t="s">
        <v>300</v>
      </c>
      <c r="H105" s="10" t="str">
        <f aca="false">IF(G105="Deep","Master prompt",IF(G105="Targeted","Section prompt",IF(G105="Cite only","Claim-check prompt","")))</f>
        <v>Claim-check prompt</v>
      </c>
      <c r="I105" s="10" t="s">
        <v>430</v>
      </c>
      <c r="J105" s="11" t="s">
        <v>431</v>
      </c>
      <c r="K105" s="10" t="s">
        <v>303</v>
      </c>
      <c r="L105" s="11" t="s">
        <v>79</v>
      </c>
      <c r="M105" s="11"/>
    </row>
    <row r="106" customFormat="false" ht="35.05" hidden="false" customHeight="false" outlineLevel="0" collapsed="false">
      <c r="A106" s="10" t="n">
        <v>101</v>
      </c>
      <c r="B106" s="10" t="s">
        <v>49</v>
      </c>
      <c r="C106" s="10" t="s">
        <v>71</v>
      </c>
      <c r="D106" s="10" t="s">
        <v>432</v>
      </c>
      <c r="E106" s="10" t="s">
        <v>93</v>
      </c>
      <c r="F106" s="10" t="s">
        <v>94</v>
      </c>
      <c r="G106" s="10" t="s">
        <v>300</v>
      </c>
      <c r="H106" s="10" t="str">
        <f aca="false">IF(G106="Deep","Master prompt",IF(G106="Targeted","Section prompt",IF(G106="Cite only","Claim-check prompt","")))</f>
        <v>Claim-check prompt</v>
      </c>
      <c r="I106" s="10" t="s">
        <v>433</v>
      </c>
      <c r="J106" s="11" t="s">
        <v>434</v>
      </c>
      <c r="K106" s="10" t="s">
        <v>303</v>
      </c>
      <c r="L106" s="11" t="s">
        <v>94</v>
      </c>
      <c r="M106" s="11"/>
    </row>
    <row r="107" customFormat="false" ht="46.25" hidden="false" customHeight="false" outlineLevel="0" collapsed="false">
      <c r="A107" s="10" t="n">
        <v>102</v>
      </c>
      <c r="B107" s="10" t="s">
        <v>49</v>
      </c>
      <c r="C107" s="10" t="s">
        <v>174</v>
      </c>
      <c r="D107" s="10" t="s">
        <v>435</v>
      </c>
      <c r="E107" s="10" t="s">
        <v>93</v>
      </c>
      <c r="F107" s="10" t="s">
        <v>94</v>
      </c>
      <c r="G107" s="10" t="s">
        <v>300</v>
      </c>
      <c r="H107" s="10" t="str">
        <f aca="false">IF(G107="Deep","Master prompt",IF(G107="Targeted","Section prompt",IF(G107="Cite only","Claim-check prompt","")))</f>
        <v>Claim-check prompt</v>
      </c>
      <c r="I107" s="10" t="s">
        <v>167</v>
      </c>
      <c r="J107" s="11" t="s">
        <v>436</v>
      </c>
      <c r="K107" s="10" t="s">
        <v>437</v>
      </c>
      <c r="L107" s="11" t="s">
        <v>94</v>
      </c>
      <c r="M107" s="11"/>
    </row>
    <row r="108" customFormat="false" ht="35.05" hidden="false" customHeight="false" outlineLevel="0" collapsed="false">
      <c r="A108" s="10" t="n">
        <v>103</v>
      </c>
      <c r="B108" s="10" t="s">
        <v>49</v>
      </c>
      <c r="C108" s="10" t="s">
        <v>174</v>
      </c>
      <c r="D108" s="10" t="s">
        <v>438</v>
      </c>
      <c r="E108" s="10" t="s">
        <v>93</v>
      </c>
      <c r="F108" s="10" t="s">
        <v>94</v>
      </c>
      <c r="G108" s="10" t="s">
        <v>300</v>
      </c>
      <c r="H108" s="10" t="str">
        <f aca="false">IF(G108="Deep","Master prompt",IF(G108="Targeted","Section prompt",IF(G108="Cite only","Claim-check prompt","")))</f>
        <v>Claim-check prompt</v>
      </c>
      <c r="I108" s="10" t="s">
        <v>294</v>
      </c>
      <c r="J108" s="11" t="s">
        <v>439</v>
      </c>
      <c r="K108" s="10" t="s">
        <v>437</v>
      </c>
      <c r="L108" s="11" t="s">
        <v>94</v>
      </c>
      <c r="M108" s="11"/>
    </row>
    <row r="109" customFormat="false" ht="35.05" hidden="false" customHeight="false" outlineLevel="0" collapsed="false">
      <c r="A109" s="10" t="n">
        <v>104</v>
      </c>
      <c r="B109" s="10" t="s">
        <v>49</v>
      </c>
      <c r="C109" s="10" t="s">
        <v>174</v>
      </c>
      <c r="D109" s="10" t="s">
        <v>440</v>
      </c>
      <c r="E109" s="10" t="s">
        <v>93</v>
      </c>
      <c r="F109" s="10" t="s">
        <v>94</v>
      </c>
      <c r="G109" s="10" t="s">
        <v>300</v>
      </c>
      <c r="H109" s="10" t="str">
        <f aca="false">IF(G109="Deep","Master prompt",IF(G109="Targeted","Section prompt",IF(G109="Cite only","Claim-check prompt","")))</f>
        <v>Claim-check prompt</v>
      </c>
      <c r="I109" s="10" t="s">
        <v>430</v>
      </c>
      <c r="J109" s="11" t="s">
        <v>441</v>
      </c>
      <c r="K109" s="10" t="s">
        <v>437</v>
      </c>
      <c r="L109" s="11" t="s">
        <v>94</v>
      </c>
      <c r="M109" s="11"/>
    </row>
    <row r="110" customFormat="false" ht="35.05" hidden="false" customHeight="false" outlineLevel="0" collapsed="false">
      <c r="A110" s="10" t="n">
        <v>105</v>
      </c>
      <c r="B110" s="10" t="s">
        <v>49</v>
      </c>
      <c r="C110" s="10" t="s">
        <v>174</v>
      </c>
      <c r="D110" s="10" t="s">
        <v>442</v>
      </c>
      <c r="E110" s="10" t="s">
        <v>93</v>
      </c>
      <c r="F110" s="10" t="s">
        <v>94</v>
      </c>
      <c r="G110" s="10" t="s">
        <v>300</v>
      </c>
      <c r="H110" s="10" t="str">
        <f aca="false">IF(G110="Deep","Master prompt",IF(G110="Targeted","Section prompt",IF(G110="Cite only","Claim-check prompt","")))</f>
        <v>Claim-check prompt</v>
      </c>
      <c r="I110" s="10" t="s">
        <v>301</v>
      </c>
      <c r="J110" s="11" t="s">
        <v>443</v>
      </c>
      <c r="K110" s="10" t="s">
        <v>437</v>
      </c>
      <c r="L110" s="11" t="s">
        <v>94</v>
      </c>
      <c r="M110" s="11"/>
    </row>
    <row r="111" customFormat="false" ht="35.05" hidden="false" customHeight="false" outlineLevel="0" collapsed="false">
      <c r="A111" s="10" t="n">
        <v>106</v>
      </c>
      <c r="B111" s="10" t="s">
        <v>49</v>
      </c>
      <c r="C111" s="10" t="s">
        <v>174</v>
      </c>
      <c r="D111" s="10" t="s">
        <v>444</v>
      </c>
      <c r="E111" s="10" t="s">
        <v>93</v>
      </c>
      <c r="F111" s="10" t="s">
        <v>94</v>
      </c>
      <c r="G111" s="10" t="s">
        <v>300</v>
      </c>
      <c r="H111" s="10" t="str">
        <f aca="false">IF(G111="Deep","Master prompt",IF(G111="Targeted","Section prompt",IF(G111="Cite only","Claim-check prompt","")))</f>
        <v>Claim-check prompt</v>
      </c>
      <c r="I111" s="10" t="s">
        <v>301</v>
      </c>
      <c r="J111" s="11" t="s">
        <v>445</v>
      </c>
      <c r="K111" s="10" t="s">
        <v>437</v>
      </c>
      <c r="L111" s="11" t="s">
        <v>94</v>
      </c>
      <c r="M111" s="11"/>
    </row>
    <row r="112" customFormat="false" ht="35.05" hidden="false" customHeight="false" outlineLevel="0" collapsed="false">
      <c r="A112" s="10" t="n">
        <v>107</v>
      </c>
      <c r="B112" s="10" t="s">
        <v>49</v>
      </c>
      <c r="C112" s="10" t="s">
        <v>174</v>
      </c>
      <c r="D112" s="10" t="s">
        <v>446</v>
      </c>
      <c r="E112" s="10" t="s">
        <v>93</v>
      </c>
      <c r="F112" s="10" t="s">
        <v>94</v>
      </c>
      <c r="G112" s="10" t="s">
        <v>300</v>
      </c>
      <c r="H112" s="10" t="str">
        <f aca="false">IF(G112="Deep","Master prompt",IF(G112="Targeted","Section prompt",IF(G112="Cite only","Claim-check prompt","")))</f>
        <v>Claim-check prompt</v>
      </c>
      <c r="I112" s="10" t="s">
        <v>238</v>
      </c>
      <c r="J112" s="11" t="s">
        <v>447</v>
      </c>
      <c r="K112" s="10" t="s">
        <v>437</v>
      </c>
      <c r="L112" s="11" t="s">
        <v>94</v>
      </c>
      <c r="M112" s="11"/>
    </row>
    <row r="113" customFormat="false" ht="35.05" hidden="false" customHeight="false" outlineLevel="0" collapsed="false">
      <c r="A113" s="10" t="n">
        <v>108</v>
      </c>
      <c r="B113" s="10" t="s">
        <v>49</v>
      </c>
      <c r="C113" s="10" t="s">
        <v>174</v>
      </c>
      <c r="D113" s="10" t="s">
        <v>448</v>
      </c>
      <c r="E113" s="10" t="s">
        <v>93</v>
      </c>
      <c r="F113" s="10" t="s">
        <v>449</v>
      </c>
      <c r="G113" s="10" t="s">
        <v>300</v>
      </c>
      <c r="H113" s="10" t="str">
        <f aca="false">IF(G113="Deep","Master prompt",IF(G113="Targeted","Section prompt",IF(G113="Cite only","Claim-check prompt","")))</f>
        <v>Claim-check prompt</v>
      </c>
      <c r="I113" s="10" t="s">
        <v>294</v>
      </c>
      <c r="J113" s="11" t="s">
        <v>450</v>
      </c>
      <c r="K113" s="10" t="s">
        <v>437</v>
      </c>
      <c r="L113" s="11" t="s">
        <v>94</v>
      </c>
      <c r="M113" s="11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1"/>
      <c r="K114" s="10"/>
      <c r="L114" s="11"/>
      <c r="M114" s="11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1"/>
      <c r="K115" s="10"/>
      <c r="L115" s="11"/>
      <c r="M115" s="11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1"/>
      <c r="K116" s="10"/>
      <c r="L116" s="11"/>
      <c r="M116" s="11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1"/>
      <c r="K117" s="10"/>
      <c r="L117" s="11"/>
      <c r="M117" s="11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1"/>
      <c r="K118" s="10"/>
      <c r="L118" s="11"/>
      <c r="M118" s="11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1"/>
      <c r="K119" s="10"/>
      <c r="L119" s="11"/>
      <c r="M119" s="11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1"/>
      <c r="K120" s="10"/>
      <c r="L120" s="11"/>
      <c r="M120" s="11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1"/>
      <c r="K121" s="10"/>
      <c r="L121" s="11"/>
      <c r="M121" s="11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1"/>
      <c r="K122" s="10"/>
      <c r="L122" s="11"/>
      <c r="M122" s="11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1"/>
      <c r="K123" s="10"/>
      <c r="L123" s="11"/>
      <c r="M123" s="11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1"/>
      <c r="K124" s="10"/>
      <c r="L124" s="11"/>
      <c r="M124" s="11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1"/>
      <c r="K125" s="10"/>
      <c r="L125" s="11"/>
      <c r="M125" s="11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1"/>
      <c r="K126" s="10"/>
      <c r="L126" s="11"/>
      <c r="M126" s="11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1"/>
      <c r="K127" s="10"/>
      <c r="L127" s="11"/>
      <c r="M127" s="11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1"/>
      <c r="K128" s="10"/>
      <c r="L128" s="11"/>
      <c r="M128" s="11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1"/>
      <c r="K129" s="10"/>
      <c r="L129" s="11"/>
      <c r="M129" s="11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1"/>
      <c r="K130" s="10"/>
      <c r="L130" s="11"/>
      <c r="M130" s="11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1"/>
      <c r="K131" s="10"/>
      <c r="L131" s="11"/>
      <c r="M131" s="11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1"/>
      <c r="K132" s="10"/>
      <c r="L132" s="11"/>
      <c r="M132" s="11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1"/>
      <c r="K133" s="10"/>
      <c r="L133" s="11"/>
      <c r="M133" s="11"/>
    </row>
  </sheetData>
  <autoFilter ref="A5:M133"/>
  <dataValidations count="3">
    <dataValidation allowBlank="true" errorStyle="stop" operator="between" showDropDown="false" showErrorMessage="false" showInputMessage="false" sqref="C6:C133" type="list">
      <formula1>"Must,Should,If time"</formula1>
      <formula2>0</formula2>
    </dataValidation>
    <dataValidation allowBlank="true" errorStyle="stop" operator="between" showDropDown="false" showErrorMessage="false" showInputMessage="false" sqref="G6:G133" type="list">
      <formula1>"Deep,Targeted,Cite only"</formula1>
      <formula2>0</formula2>
    </dataValidation>
    <dataValidation allowBlank="true" errorStyle="stop" operator="between" showDropDown="false" showErrorMessage="false" showInputMessage="false" sqref="L6:L133" type="list">
      <formula1>"To find,In folder,In Zotero,Prompt run,Checked,Done"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4" t="s">
        <v>451</v>
      </c>
    </row>
    <row r="2" customFormat="false" ht="15" hidden="false" customHeight="false" outlineLevel="0" collapsed="false">
      <c r="A2" s="8" t="s">
        <v>452</v>
      </c>
    </row>
    <row r="4" customFormat="false" ht="30" hidden="false" customHeight="true" outlineLevel="0" collapsed="false">
      <c r="A4" s="9" t="s">
        <v>453</v>
      </c>
      <c r="B4" s="9" t="s">
        <v>454</v>
      </c>
      <c r="C4" s="9" t="s">
        <v>455</v>
      </c>
      <c r="D4" s="9" t="s">
        <v>456</v>
      </c>
    </row>
    <row r="5" customFormat="false" ht="23.85" hidden="false" customHeight="false" outlineLevel="0" collapsed="false">
      <c r="A5" s="10" t="s">
        <v>457</v>
      </c>
      <c r="B5" s="10" t="s">
        <v>458</v>
      </c>
      <c r="C5" s="10" t="s">
        <v>459</v>
      </c>
      <c r="D5" s="10" t="s">
        <v>460</v>
      </c>
    </row>
    <row r="6" customFormat="false" ht="23.85" hidden="false" customHeight="false" outlineLevel="0" collapsed="false">
      <c r="A6" s="10" t="s">
        <v>461</v>
      </c>
      <c r="B6" s="10" t="s">
        <v>462</v>
      </c>
      <c r="C6" s="10" t="s">
        <v>459</v>
      </c>
      <c r="D6" s="10" t="s">
        <v>463</v>
      </c>
    </row>
    <row r="7" customFormat="false" ht="23.85" hidden="false" customHeight="false" outlineLevel="0" collapsed="false">
      <c r="A7" s="10" t="s">
        <v>464</v>
      </c>
      <c r="B7" s="10" t="s">
        <v>465</v>
      </c>
      <c r="C7" s="10" t="s">
        <v>459</v>
      </c>
      <c r="D7" s="10" t="s">
        <v>466</v>
      </c>
    </row>
    <row r="8" customFormat="false" ht="23.85" hidden="false" customHeight="false" outlineLevel="0" collapsed="false">
      <c r="A8" s="10" t="s">
        <v>467</v>
      </c>
      <c r="B8" s="10" t="s">
        <v>468</v>
      </c>
      <c r="C8" s="10" t="s">
        <v>459</v>
      </c>
      <c r="D8" s="10" t="s">
        <v>469</v>
      </c>
    </row>
    <row r="9" customFormat="false" ht="23.85" hidden="false" customHeight="false" outlineLevel="0" collapsed="false">
      <c r="A9" s="10" t="s">
        <v>470</v>
      </c>
      <c r="B9" s="10" t="s">
        <v>471</v>
      </c>
      <c r="C9" s="10" t="s">
        <v>459</v>
      </c>
      <c r="D9" s="10" t="s">
        <v>472</v>
      </c>
    </row>
    <row r="10" customFormat="false" ht="23.85" hidden="false" customHeight="false" outlineLevel="0" collapsed="false">
      <c r="A10" s="10" t="s">
        <v>473</v>
      </c>
      <c r="B10" s="10" t="s">
        <v>474</v>
      </c>
      <c r="C10" s="10" t="s">
        <v>459</v>
      </c>
      <c r="D10" s="10" t="s">
        <v>475</v>
      </c>
    </row>
    <row r="11" customFormat="false" ht="23.85" hidden="false" customHeight="false" outlineLevel="0" collapsed="false">
      <c r="A11" s="10" t="s">
        <v>476</v>
      </c>
      <c r="B11" s="10" t="s">
        <v>477</v>
      </c>
      <c r="C11" s="10" t="s">
        <v>459</v>
      </c>
      <c r="D11" s="10" t="s">
        <v>478</v>
      </c>
    </row>
    <row r="12" customFormat="false" ht="23.85" hidden="false" customHeight="false" outlineLevel="0" collapsed="false">
      <c r="A12" s="10" t="s">
        <v>479</v>
      </c>
      <c r="B12" s="10" t="s">
        <v>480</v>
      </c>
      <c r="C12" s="10" t="s">
        <v>459</v>
      </c>
      <c r="D12" s="10" t="s">
        <v>481</v>
      </c>
    </row>
    <row r="13" customFormat="false" ht="23.85" hidden="false" customHeight="false" outlineLevel="0" collapsed="false">
      <c r="A13" s="10" t="s">
        <v>482</v>
      </c>
      <c r="B13" s="10" t="s">
        <v>483</v>
      </c>
      <c r="C13" s="10" t="s">
        <v>459</v>
      </c>
      <c r="D13" s="10" t="s">
        <v>484</v>
      </c>
    </row>
    <row r="14" customFormat="false" ht="23.85" hidden="false" customHeight="false" outlineLevel="0" collapsed="false">
      <c r="A14" s="10" t="s">
        <v>485</v>
      </c>
      <c r="B14" s="10" t="s">
        <v>486</v>
      </c>
      <c r="C14" s="10" t="s">
        <v>459</v>
      </c>
      <c r="D14" s="10" t="s">
        <v>487</v>
      </c>
    </row>
    <row r="15" customFormat="false" ht="23.85" hidden="false" customHeight="false" outlineLevel="0" collapsed="false">
      <c r="A15" s="10" t="s">
        <v>488</v>
      </c>
      <c r="B15" s="10" t="s">
        <v>489</v>
      </c>
      <c r="C15" s="10" t="s">
        <v>459</v>
      </c>
      <c r="D15" s="10" t="s">
        <v>490</v>
      </c>
    </row>
    <row r="16" customFormat="false" ht="23.85" hidden="false" customHeight="false" outlineLevel="0" collapsed="false">
      <c r="A16" s="10" t="s">
        <v>491</v>
      </c>
      <c r="B16" s="10" t="s">
        <v>492</v>
      </c>
      <c r="C16" s="10" t="s">
        <v>459</v>
      </c>
      <c r="D16" s="10" t="s">
        <v>493</v>
      </c>
    </row>
    <row r="17" customFormat="false" ht="23.85" hidden="false" customHeight="false" outlineLevel="0" collapsed="false">
      <c r="A17" s="10" t="s">
        <v>494</v>
      </c>
      <c r="B17" s="10" t="s">
        <v>495</v>
      </c>
      <c r="C17" s="10" t="s">
        <v>459</v>
      </c>
      <c r="D17" s="10" t="s">
        <v>496</v>
      </c>
    </row>
    <row r="18" customFormat="false" ht="23.85" hidden="false" customHeight="false" outlineLevel="0" collapsed="false">
      <c r="A18" s="10" t="s">
        <v>497</v>
      </c>
      <c r="B18" s="10" t="s">
        <v>498</v>
      </c>
      <c r="C18" s="10" t="s">
        <v>459</v>
      </c>
      <c r="D18" s="10" t="s">
        <v>499</v>
      </c>
    </row>
    <row r="19" customFormat="false" ht="23.85" hidden="false" customHeight="false" outlineLevel="0" collapsed="false">
      <c r="A19" s="10" t="s">
        <v>500</v>
      </c>
      <c r="B19" s="10" t="s">
        <v>501</v>
      </c>
      <c r="C19" s="10" t="s">
        <v>502</v>
      </c>
      <c r="D19" s="10" t="s">
        <v>503</v>
      </c>
    </row>
    <row r="20" customFormat="false" ht="15" hidden="false" customHeight="false" outlineLevel="0" collapsed="false">
      <c r="A20" s="10" t="s">
        <v>504</v>
      </c>
      <c r="B20" s="10" t="s">
        <v>505</v>
      </c>
      <c r="C20" s="10" t="s">
        <v>502</v>
      </c>
      <c r="D20" s="10" t="s">
        <v>506</v>
      </c>
    </row>
    <row r="21" customFormat="false" ht="15" hidden="false" customHeight="false" outlineLevel="0" collapsed="false">
      <c r="A21" s="10" t="s">
        <v>507</v>
      </c>
      <c r="B21" s="10" t="s">
        <v>508</v>
      </c>
      <c r="C21" s="10" t="s">
        <v>509</v>
      </c>
      <c r="D21" s="10" t="s">
        <v>510</v>
      </c>
    </row>
    <row r="22" customFormat="false" ht="35.05" hidden="false" customHeight="false" outlineLevel="0" collapsed="false">
      <c r="A22" s="10" t="s">
        <v>511</v>
      </c>
      <c r="B22" s="10" t="s">
        <v>512</v>
      </c>
      <c r="C22" s="10" t="s">
        <v>509</v>
      </c>
      <c r="D22" s="10" t="s">
        <v>513</v>
      </c>
    </row>
    <row r="23" customFormat="false" ht="23.85" hidden="false" customHeight="false" outlineLevel="0" collapsed="false">
      <c r="A23" s="10" t="s">
        <v>514</v>
      </c>
      <c r="B23" s="10" t="s">
        <v>515</v>
      </c>
      <c r="C23" s="10" t="s">
        <v>509</v>
      </c>
      <c r="D23" s="10" t="s">
        <v>516</v>
      </c>
    </row>
    <row r="24" customFormat="false" ht="15" hidden="false" customHeight="false" outlineLevel="0" collapsed="false">
      <c r="A24" s="10" t="s">
        <v>517</v>
      </c>
      <c r="B24" s="10" t="s">
        <v>518</v>
      </c>
      <c r="C24" s="10" t="s">
        <v>519</v>
      </c>
      <c r="D24" s="10" t="s">
        <v>520</v>
      </c>
    </row>
    <row r="25" customFormat="false" ht="15" hidden="false" customHeight="false" outlineLevel="0" collapsed="false">
      <c r="A25" s="10"/>
      <c r="B25" s="10"/>
      <c r="C25" s="10"/>
      <c r="D25" s="10"/>
    </row>
    <row r="26" customFormat="false" ht="15" hidden="false" customHeight="false" outlineLevel="0" collapsed="false">
      <c r="A26" s="10"/>
      <c r="B26" s="10"/>
      <c r="C26" s="10"/>
      <c r="D26" s="10"/>
    </row>
    <row r="27" customFormat="false" ht="15" hidden="false" customHeight="false" outlineLevel="0" collapsed="false">
      <c r="A27" s="10"/>
      <c r="B27" s="10"/>
      <c r="C27" s="10"/>
      <c r="D27" s="10"/>
    </row>
    <row r="28" customFormat="false" ht="15" hidden="false" customHeight="false" outlineLevel="0" collapsed="false">
      <c r="A28" s="10"/>
      <c r="B28" s="10"/>
      <c r="C28" s="10"/>
      <c r="D28" s="10"/>
    </row>
    <row r="29" customFormat="false" ht="15" hidden="false" customHeight="false" outlineLevel="0" collapsed="false">
      <c r="A29" s="10"/>
      <c r="B29" s="10"/>
      <c r="C29" s="10"/>
      <c r="D29" s="10"/>
    </row>
  </sheetData>
  <autoFilter ref="A4:D29"/>
  <dataValidations count="1">
    <dataValidation allowBlank="true" errorStyle="stop" operator="between" showDropDown="false" showErrorMessage="false" showInputMessage="false" sqref="C5:C29" type="list">
      <formula1>"Park,Drop,Drop (duplicate),Delete,Move to reading list"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16</v>
      </c>
    </row>
    <row r="2" customFormat="false" ht="45" hidden="false" customHeight="true" outlineLevel="0" collapsed="false">
      <c r="A2" s="3" t="s">
        <v>521</v>
      </c>
      <c r="B2" s="10" t="s">
        <v>522</v>
      </c>
    </row>
    <row r="3" customFormat="false" ht="600" hidden="false" customHeight="true" outlineLevel="0" collapsed="false">
      <c r="A3" s="3" t="s">
        <v>523</v>
      </c>
      <c r="B3" s="10" t="s">
        <v>524</v>
      </c>
    </row>
    <row r="4" customFormat="false" ht="150" hidden="false" customHeight="true" outlineLevel="0" collapsed="false">
      <c r="A4" s="3" t="s">
        <v>525</v>
      </c>
      <c r="B4" s="10" t="s">
        <v>526</v>
      </c>
    </row>
    <row r="5" customFormat="false" ht="79.5" hidden="false" customHeight="true" outlineLevel="0" collapsed="false">
      <c r="A5" s="3" t="s">
        <v>527</v>
      </c>
      <c r="B5" s="10" t="s">
        <v>528</v>
      </c>
    </row>
    <row r="6" customFormat="false" ht="199.5" hidden="false" customHeight="true" outlineLevel="0" collapsed="false">
      <c r="A6" s="3" t="s">
        <v>529</v>
      </c>
      <c r="B6" s="10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5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9" min="8" style="0" width="10"/>
  </cols>
  <sheetData>
    <row r="1" customFormat="false" ht="30" hidden="false" customHeight="true" outlineLevel="0" collapsed="false">
      <c r="A1" s="9" t="s">
        <v>531</v>
      </c>
      <c r="B1" s="9" t="s">
        <v>532</v>
      </c>
      <c r="C1" s="9" t="s">
        <v>533</v>
      </c>
      <c r="D1" s="9" t="s">
        <v>534</v>
      </c>
      <c r="E1" s="9" t="s">
        <v>535</v>
      </c>
      <c r="F1" s="9" t="s">
        <v>536</v>
      </c>
      <c r="G1" s="9" t="s">
        <v>537</v>
      </c>
      <c r="H1" s="9" t="s">
        <v>538</v>
      </c>
      <c r="I1" s="9" t="s">
        <v>539</v>
      </c>
    </row>
    <row r="2" customFormat="false" ht="23.85" hidden="false" customHeight="false" outlineLevel="0" collapsed="false">
      <c r="A2" s="12" t="s">
        <v>167</v>
      </c>
      <c r="B2" s="12" t="s">
        <v>540</v>
      </c>
      <c r="C2" s="12" t="s">
        <v>541</v>
      </c>
      <c r="D2" s="12" t="s">
        <v>542</v>
      </c>
      <c r="E2" s="12" t="s">
        <v>543</v>
      </c>
      <c r="F2" s="12" t="s">
        <v>544</v>
      </c>
      <c r="G2" s="12" t="s">
        <v>544</v>
      </c>
      <c r="H2" s="12" t="s">
        <v>545</v>
      </c>
      <c r="I2" s="12" t="s">
        <v>545</v>
      </c>
    </row>
    <row r="3" customFormat="false" ht="23.85" hidden="false" customHeight="false" outlineLevel="0" collapsed="false">
      <c r="A3" s="12" t="s">
        <v>228</v>
      </c>
      <c r="B3" s="12" t="s">
        <v>546</v>
      </c>
      <c r="C3" s="12" t="s">
        <v>547</v>
      </c>
      <c r="D3" s="12" t="s">
        <v>548</v>
      </c>
      <c r="E3" s="12" t="s">
        <v>549</v>
      </c>
      <c r="F3" s="12" t="s">
        <v>544</v>
      </c>
      <c r="G3" s="12" t="s">
        <v>544</v>
      </c>
      <c r="H3" s="12" t="s">
        <v>545</v>
      </c>
      <c r="I3" s="12" t="s">
        <v>545</v>
      </c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</row>
  </sheetData>
  <autoFilter ref="A1:I201"/>
  <dataValidations count="3">
    <dataValidation allowBlank="true" errorStyle="stop" operator="between" showDropDown="false" showErrorMessage="false" showInputMessage="false" sqref="A2:A201" type="list">
      <formula1>"Introduction / relevance,Liability of foreignness,Distance (types,mechanisms),Europe and gap,Moderators,Investor-level factors,Outcome / performance,Sample and data,Measures,Analysis and robustness,Limitations / future research"</formula1>
      <formula2>0</formula2>
    </dataValidation>
    <dataValidation allowBlank="true" errorStyle="stop" operator="between" showDropDown="false" showErrorMessage="false" showInputMessage="false" sqref="H2:H201" type="list">
      <formula1>"Yes,No"</formula1>
      <formula2>0</formula2>
    </dataValidation>
    <dataValidation allowBlank="true" errorStyle="stop" operator="between" showDropDown="false" showErrorMessage="false" showInputMessage="false" sqref="I2:I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8"/>
    <col collapsed="false" customWidth="true" hidden="false" outlineLevel="0" max="5" min="5" style="0" width="10"/>
  </cols>
  <sheetData>
    <row r="1" customFormat="false" ht="30" hidden="false" customHeight="true" outlineLevel="0" collapsed="false">
      <c r="A1" s="9" t="s">
        <v>454</v>
      </c>
      <c r="B1" s="9" t="s">
        <v>550</v>
      </c>
      <c r="C1" s="9" t="s">
        <v>551</v>
      </c>
      <c r="D1" s="9" t="s">
        <v>536</v>
      </c>
      <c r="E1" s="9" t="s">
        <v>538</v>
      </c>
    </row>
    <row r="2" customFormat="false" ht="15" hidden="false" customHeight="false" outlineLevel="0" collapsed="false">
      <c r="A2" s="12" t="s">
        <v>546</v>
      </c>
      <c r="B2" s="12" t="s">
        <v>552</v>
      </c>
      <c r="C2" s="12" t="s">
        <v>553</v>
      </c>
      <c r="D2" s="12" t="s">
        <v>544</v>
      </c>
      <c r="E2" s="12" t="s">
        <v>545</v>
      </c>
    </row>
    <row r="3" customFormat="false" ht="15" hidden="false" customHeight="false" outlineLevel="0" collapsed="false">
      <c r="A3" s="11"/>
      <c r="B3" s="11"/>
      <c r="C3" s="11"/>
      <c r="D3" s="11"/>
      <c r="E3" s="11"/>
    </row>
    <row r="4" customFormat="false" ht="15" hidden="false" customHeight="false" outlineLevel="0" collapsed="false">
      <c r="A4" s="11"/>
      <c r="B4" s="11"/>
      <c r="C4" s="11"/>
      <c r="D4" s="11"/>
      <c r="E4" s="11"/>
    </row>
    <row r="5" customFormat="false" ht="15" hidden="false" customHeight="false" outlineLevel="0" collapsed="false">
      <c r="A5" s="11"/>
      <c r="B5" s="11"/>
      <c r="C5" s="11"/>
      <c r="D5" s="11"/>
      <c r="E5" s="11"/>
    </row>
    <row r="6" customFormat="false" ht="15" hidden="false" customHeight="false" outlineLevel="0" collapsed="false">
      <c r="A6" s="11"/>
      <c r="B6" s="11"/>
      <c r="C6" s="11"/>
      <c r="D6" s="11"/>
      <c r="E6" s="11"/>
    </row>
    <row r="7" customFormat="false" ht="15" hidden="false" customHeight="false" outlineLevel="0" collapsed="false">
      <c r="A7" s="11"/>
      <c r="B7" s="11"/>
      <c r="C7" s="11"/>
      <c r="D7" s="11"/>
      <c r="E7" s="11"/>
    </row>
    <row r="8" customFormat="false" ht="15" hidden="false" customHeight="false" outlineLevel="0" collapsed="false">
      <c r="A8" s="11"/>
      <c r="B8" s="11"/>
      <c r="C8" s="11"/>
      <c r="D8" s="11"/>
      <c r="E8" s="11"/>
    </row>
    <row r="9" customFormat="false" ht="15" hidden="false" customHeight="false" outlineLevel="0" collapsed="false">
      <c r="A9" s="11"/>
      <c r="B9" s="11"/>
      <c r="C9" s="11"/>
      <c r="D9" s="11"/>
      <c r="E9" s="11"/>
    </row>
    <row r="10" customFormat="false" ht="15" hidden="false" customHeight="false" outlineLevel="0" collapsed="false">
      <c r="A10" s="11"/>
      <c r="B10" s="11"/>
      <c r="C10" s="11"/>
      <c r="D10" s="11"/>
      <c r="E10" s="11"/>
    </row>
    <row r="11" customFormat="false" ht="15" hidden="false" customHeight="false" outlineLevel="0" collapsed="false">
      <c r="A11" s="11"/>
      <c r="B11" s="11"/>
      <c r="C11" s="11"/>
      <c r="D11" s="11"/>
      <c r="E11" s="11"/>
    </row>
    <row r="12" customFormat="false" ht="15" hidden="false" customHeight="false" outlineLevel="0" collapsed="false">
      <c r="A12" s="11"/>
      <c r="B12" s="11"/>
      <c r="C12" s="11"/>
      <c r="D12" s="11"/>
      <c r="E12" s="11"/>
    </row>
    <row r="13" customFormat="false" ht="15" hidden="false" customHeight="false" outlineLevel="0" collapsed="false">
      <c r="A13" s="11"/>
      <c r="B13" s="11"/>
      <c r="C13" s="11"/>
      <c r="D13" s="11"/>
      <c r="E13" s="11"/>
    </row>
    <row r="14" customFormat="false" ht="15" hidden="false" customHeight="false" outlineLevel="0" collapsed="false">
      <c r="A14" s="11"/>
      <c r="B14" s="11"/>
      <c r="C14" s="11"/>
      <c r="D14" s="11"/>
      <c r="E14" s="11"/>
    </row>
    <row r="15" customFormat="false" ht="15" hidden="false" customHeight="false" outlineLevel="0" collapsed="false">
      <c r="A15" s="11"/>
      <c r="B15" s="11"/>
      <c r="C15" s="11"/>
      <c r="D15" s="11"/>
      <c r="E15" s="11"/>
    </row>
    <row r="16" customFormat="false" ht="15" hidden="false" customHeight="false" outlineLevel="0" collapsed="false">
      <c r="A16" s="11"/>
      <c r="B16" s="11"/>
      <c r="C16" s="11"/>
      <c r="D16" s="11"/>
      <c r="E16" s="11"/>
    </row>
    <row r="17" customFormat="false" ht="15" hidden="false" customHeight="false" outlineLevel="0" collapsed="false">
      <c r="A17" s="11"/>
      <c r="B17" s="11"/>
      <c r="C17" s="11"/>
      <c r="D17" s="11"/>
      <c r="E17" s="11"/>
    </row>
    <row r="18" customFormat="false" ht="15" hidden="false" customHeight="false" outlineLevel="0" collapsed="false">
      <c r="A18" s="11"/>
      <c r="B18" s="11"/>
      <c r="C18" s="11"/>
      <c r="D18" s="11"/>
      <c r="E18" s="11"/>
    </row>
    <row r="19" customFormat="false" ht="15" hidden="false" customHeight="false" outlineLevel="0" collapsed="false">
      <c r="A19" s="11"/>
      <c r="B19" s="11"/>
      <c r="C19" s="11"/>
      <c r="D19" s="11"/>
      <c r="E19" s="11"/>
    </row>
    <row r="20" customFormat="false" ht="15" hidden="false" customHeight="false" outlineLevel="0" collapsed="false">
      <c r="A20" s="11"/>
      <c r="B20" s="11"/>
      <c r="C20" s="11"/>
      <c r="D20" s="11"/>
      <c r="E20" s="11"/>
    </row>
    <row r="21" customFormat="false" ht="15" hidden="false" customHeight="false" outlineLevel="0" collapsed="false">
      <c r="A21" s="11"/>
      <c r="B21" s="11"/>
      <c r="C21" s="11"/>
      <c r="D21" s="11"/>
      <c r="E21" s="11"/>
    </row>
    <row r="22" customFormat="false" ht="15" hidden="false" customHeight="false" outlineLevel="0" collapsed="false">
      <c r="A22" s="11"/>
      <c r="B22" s="11"/>
      <c r="C22" s="11"/>
      <c r="D22" s="11"/>
      <c r="E22" s="11"/>
    </row>
    <row r="23" customFormat="false" ht="15" hidden="false" customHeight="false" outlineLevel="0" collapsed="false">
      <c r="A23" s="11"/>
      <c r="B23" s="11"/>
      <c r="C23" s="11"/>
      <c r="D23" s="11"/>
      <c r="E23" s="11"/>
    </row>
    <row r="24" customFormat="false" ht="15" hidden="false" customHeight="false" outlineLevel="0" collapsed="false">
      <c r="A24" s="11"/>
      <c r="B24" s="11"/>
      <c r="C24" s="11"/>
      <c r="D24" s="11"/>
      <c r="E24" s="11"/>
    </row>
    <row r="25" customFormat="false" ht="15" hidden="false" customHeight="false" outlineLevel="0" collapsed="false">
      <c r="A25" s="11"/>
      <c r="B25" s="11"/>
      <c r="C25" s="11"/>
      <c r="D25" s="11"/>
      <c r="E25" s="11"/>
    </row>
    <row r="26" customFormat="false" ht="15" hidden="false" customHeight="false" outlineLevel="0" collapsed="false">
      <c r="A26" s="11"/>
      <c r="B26" s="11"/>
      <c r="C26" s="11"/>
      <c r="D26" s="11"/>
      <c r="E26" s="11"/>
    </row>
    <row r="27" customFormat="false" ht="15" hidden="false" customHeight="false" outlineLevel="0" collapsed="false">
      <c r="A27" s="11"/>
      <c r="B27" s="11"/>
      <c r="C27" s="11"/>
      <c r="D27" s="11"/>
      <c r="E27" s="11"/>
    </row>
    <row r="28" customFormat="false" ht="15" hidden="false" customHeight="false" outlineLevel="0" collapsed="false">
      <c r="A28" s="11"/>
      <c r="B28" s="11"/>
      <c r="C28" s="11"/>
      <c r="D28" s="11"/>
      <c r="E28" s="11"/>
    </row>
    <row r="29" customFormat="false" ht="15" hidden="false" customHeight="false" outlineLevel="0" collapsed="false">
      <c r="A29" s="11"/>
      <c r="B29" s="11"/>
      <c r="C29" s="11"/>
      <c r="D29" s="11"/>
      <c r="E29" s="11"/>
    </row>
    <row r="30" customFormat="false" ht="15" hidden="false" customHeight="false" outlineLevel="0" collapsed="false">
      <c r="A30" s="11"/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1"/>
      <c r="B32" s="11"/>
      <c r="C32" s="11"/>
      <c r="D32" s="11"/>
      <c r="E32" s="11"/>
    </row>
    <row r="33" customFormat="false" ht="15" hidden="false" customHeight="false" outlineLevel="0" collapsed="false">
      <c r="A33" s="11"/>
      <c r="B33" s="11"/>
      <c r="C33" s="11"/>
      <c r="D33" s="11"/>
      <c r="E33" s="11"/>
    </row>
    <row r="34" customFormat="false" ht="15" hidden="false" customHeight="false" outlineLevel="0" collapsed="false">
      <c r="A34" s="11"/>
      <c r="B34" s="11"/>
      <c r="C34" s="11"/>
      <c r="D34" s="11"/>
      <c r="E34" s="11"/>
    </row>
    <row r="35" customFormat="false" ht="15" hidden="false" customHeight="false" outlineLevel="0" collapsed="false">
      <c r="A35" s="11"/>
      <c r="B35" s="11"/>
      <c r="C35" s="11"/>
      <c r="D35" s="11"/>
      <c r="E35" s="11"/>
    </row>
    <row r="36" customFormat="false" ht="15" hidden="false" customHeight="false" outlineLevel="0" collapsed="false">
      <c r="A36" s="11"/>
      <c r="B36" s="11"/>
      <c r="C36" s="11"/>
      <c r="D36" s="11"/>
      <c r="E36" s="11"/>
    </row>
    <row r="37" customFormat="false" ht="15" hidden="false" customHeight="false" outlineLevel="0" collapsed="false">
      <c r="A37" s="11"/>
      <c r="B37" s="11"/>
      <c r="C37" s="11"/>
      <c r="D37" s="11"/>
      <c r="E37" s="11"/>
    </row>
    <row r="38" customFormat="false" ht="15" hidden="false" customHeight="false" outlineLevel="0" collapsed="false">
      <c r="A38" s="11"/>
      <c r="B38" s="11"/>
      <c r="C38" s="11"/>
      <c r="D38" s="11"/>
      <c r="E38" s="11"/>
    </row>
    <row r="39" customFormat="false" ht="15" hidden="false" customHeight="false" outlineLevel="0" collapsed="false">
      <c r="A39" s="11"/>
      <c r="B39" s="11"/>
      <c r="C39" s="11"/>
      <c r="D39" s="11"/>
      <c r="E39" s="11"/>
    </row>
    <row r="40" customFormat="false" ht="15" hidden="false" customHeight="false" outlineLevel="0" collapsed="false">
      <c r="A40" s="11"/>
      <c r="B40" s="11"/>
      <c r="C40" s="11"/>
      <c r="D40" s="11"/>
      <c r="E40" s="11"/>
    </row>
    <row r="41" customFormat="false" ht="15" hidden="false" customHeight="false" outlineLevel="0" collapsed="false">
      <c r="A41" s="11"/>
      <c r="B41" s="11"/>
      <c r="C41" s="11"/>
      <c r="D41" s="11"/>
      <c r="E41" s="11"/>
    </row>
    <row r="42" customFormat="false" ht="15" hidden="false" customHeight="false" outlineLevel="0" collapsed="false">
      <c r="A42" s="11"/>
      <c r="B42" s="11"/>
      <c r="C42" s="11"/>
      <c r="D42" s="11"/>
      <c r="E42" s="11"/>
    </row>
    <row r="43" customFormat="false" ht="15" hidden="false" customHeight="false" outlineLevel="0" collapsed="false">
      <c r="A43" s="11"/>
      <c r="B43" s="11"/>
      <c r="C43" s="11"/>
      <c r="D43" s="11"/>
      <c r="E43" s="11"/>
    </row>
    <row r="44" customFormat="false" ht="15" hidden="false" customHeight="false" outlineLevel="0" collapsed="false">
      <c r="A44" s="11"/>
      <c r="B44" s="11"/>
      <c r="C44" s="11"/>
      <c r="D44" s="11"/>
      <c r="E44" s="11"/>
    </row>
    <row r="45" customFormat="false" ht="15" hidden="false" customHeight="false" outlineLevel="0" collapsed="false">
      <c r="A45" s="11"/>
      <c r="B45" s="11"/>
      <c r="C45" s="11"/>
      <c r="D45" s="11"/>
      <c r="E45" s="11"/>
    </row>
    <row r="46" customFormat="false" ht="15" hidden="false" customHeight="false" outlineLevel="0" collapsed="false">
      <c r="A46" s="11"/>
      <c r="B46" s="11"/>
      <c r="C46" s="11"/>
      <c r="D46" s="11"/>
      <c r="E46" s="11"/>
    </row>
    <row r="47" customFormat="false" ht="15" hidden="false" customHeight="false" outlineLevel="0" collapsed="false">
      <c r="A47" s="11"/>
      <c r="B47" s="11"/>
      <c r="C47" s="11"/>
      <c r="D47" s="11"/>
      <c r="E47" s="11"/>
    </row>
    <row r="48" customFormat="false" ht="15" hidden="false" customHeight="false" outlineLevel="0" collapsed="false">
      <c r="A48" s="11"/>
      <c r="B48" s="11"/>
      <c r="C48" s="11"/>
      <c r="D48" s="11"/>
      <c r="E48" s="11"/>
    </row>
    <row r="49" customFormat="false" ht="15" hidden="false" customHeight="false" outlineLevel="0" collapsed="false">
      <c r="A49" s="11"/>
      <c r="B49" s="11"/>
      <c r="C49" s="11"/>
      <c r="D49" s="11"/>
      <c r="E49" s="11"/>
    </row>
    <row r="50" customFormat="false" ht="15" hidden="false" customHeight="false" outlineLevel="0" collapsed="false">
      <c r="A50" s="11"/>
      <c r="B50" s="11"/>
      <c r="C50" s="11"/>
      <c r="D50" s="11"/>
      <c r="E50" s="11"/>
    </row>
    <row r="51" customFormat="false" ht="15" hidden="false" customHeight="false" outlineLevel="0" collapsed="false">
      <c r="A51" s="11"/>
      <c r="B51" s="11"/>
      <c r="C51" s="11"/>
      <c r="D51" s="11"/>
      <c r="E51" s="11"/>
    </row>
    <row r="52" customFormat="false" ht="15" hidden="false" customHeight="false" outlineLevel="0" collapsed="false">
      <c r="A52" s="11"/>
      <c r="B52" s="11"/>
      <c r="C52" s="11"/>
      <c r="D52" s="11"/>
      <c r="E52" s="11"/>
    </row>
    <row r="53" customFormat="false" ht="15" hidden="false" customHeight="false" outlineLevel="0" collapsed="false">
      <c r="A53" s="11"/>
      <c r="B53" s="11"/>
      <c r="C53" s="11"/>
      <c r="D53" s="11"/>
      <c r="E53" s="11"/>
    </row>
    <row r="54" customFormat="false" ht="15" hidden="false" customHeight="false" outlineLevel="0" collapsed="false">
      <c r="A54" s="11"/>
      <c r="B54" s="11"/>
      <c r="C54" s="11"/>
      <c r="D54" s="11"/>
      <c r="E54" s="11"/>
    </row>
    <row r="55" customFormat="false" ht="15" hidden="false" customHeight="false" outlineLevel="0" collapsed="false">
      <c r="A55" s="11"/>
      <c r="B55" s="11"/>
      <c r="C55" s="11"/>
      <c r="D55" s="11"/>
      <c r="E55" s="11"/>
    </row>
    <row r="56" customFormat="false" ht="15" hidden="false" customHeight="false" outlineLevel="0" collapsed="false">
      <c r="A56" s="11"/>
      <c r="B56" s="11"/>
      <c r="C56" s="11"/>
      <c r="D56" s="11"/>
      <c r="E56" s="11"/>
    </row>
    <row r="57" customFormat="false" ht="15" hidden="false" customHeight="false" outlineLevel="0" collapsed="false">
      <c r="A57" s="11"/>
      <c r="B57" s="11"/>
      <c r="C57" s="11"/>
      <c r="D57" s="11"/>
      <c r="E57" s="11"/>
    </row>
    <row r="58" customFormat="false" ht="15" hidden="false" customHeight="false" outlineLevel="0" collapsed="false">
      <c r="A58" s="11"/>
      <c r="B58" s="11"/>
      <c r="C58" s="11"/>
      <c r="D58" s="11"/>
      <c r="E58" s="11"/>
    </row>
    <row r="59" customFormat="false" ht="15" hidden="false" customHeight="false" outlineLevel="0" collapsed="false">
      <c r="A59" s="11"/>
      <c r="B59" s="11"/>
      <c r="C59" s="11"/>
      <c r="D59" s="11"/>
      <c r="E59" s="11"/>
    </row>
    <row r="60" customFormat="false" ht="15" hidden="false" customHeight="false" outlineLevel="0" collapsed="false">
      <c r="A60" s="11"/>
      <c r="B60" s="11"/>
      <c r="C60" s="11"/>
      <c r="D60" s="11"/>
      <c r="E60" s="11"/>
    </row>
    <row r="61" customFormat="false" ht="15" hidden="false" customHeight="false" outlineLevel="0" collapsed="false">
      <c r="A61" s="11"/>
      <c r="B61" s="11"/>
      <c r="C61" s="11"/>
      <c r="D61" s="11"/>
      <c r="E61" s="11"/>
    </row>
    <row r="62" customFormat="false" ht="15" hidden="false" customHeight="false" outlineLevel="0" collapsed="false">
      <c r="A62" s="11"/>
      <c r="B62" s="11"/>
      <c r="C62" s="11"/>
      <c r="D62" s="11"/>
      <c r="E62" s="11"/>
    </row>
    <row r="63" customFormat="false" ht="15" hidden="false" customHeight="false" outlineLevel="0" collapsed="false">
      <c r="A63" s="11"/>
      <c r="B63" s="11"/>
      <c r="C63" s="11"/>
      <c r="D63" s="11"/>
      <c r="E63" s="11"/>
    </row>
    <row r="64" customFormat="false" ht="15" hidden="false" customHeight="false" outlineLevel="0" collapsed="false">
      <c r="A64" s="11"/>
      <c r="B64" s="11"/>
      <c r="C64" s="11"/>
      <c r="D64" s="11"/>
      <c r="E64" s="11"/>
    </row>
    <row r="65" customFormat="false" ht="15" hidden="false" customHeight="false" outlineLevel="0" collapsed="false">
      <c r="A65" s="11"/>
      <c r="B65" s="11"/>
      <c r="C65" s="11"/>
      <c r="D65" s="11"/>
      <c r="E65" s="11"/>
    </row>
    <row r="66" customFormat="false" ht="15" hidden="false" customHeight="false" outlineLevel="0" collapsed="false">
      <c r="A66" s="11"/>
      <c r="B66" s="11"/>
      <c r="C66" s="11"/>
      <c r="D66" s="11"/>
      <c r="E66" s="11"/>
    </row>
    <row r="67" customFormat="false" ht="15" hidden="false" customHeight="false" outlineLevel="0" collapsed="false">
      <c r="A67" s="11"/>
      <c r="B67" s="11"/>
      <c r="C67" s="11"/>
      <c r="D67" s="11"/>
      <c r="E67" s="11"/>
    </row>
    <row r="68" customFormat="false" ht="15" hidden="false" customHeight="false" outlineLevel="0" collapsed="false">
      <c r="A68" s="11"/>
      <c r="B68" s="11"/>
      <c r="C68" s="11"/>
      <c r="D68" s="11"/>
      <c r="E68" s="11"/>
    </row>
    <row r="69" customFormat="false" ht="15" hidden="false" customHeight="false" outlineLevel="0" collapsed="false">
      <c r="A69" s="11"/>
      <c r="B69" s="11"/>
      <c r="C69" s="11"/>
      <c r="D69" s="11"/>
      <c r="E69" s="11"/>
    </row>
    <row r="70" customFormat="false" ht="15" hidden="false" customHeight="false" outlineLevel="0" collapsed="false">
      <c r="A70" s="11"/>
      <c r="B70" s="11"/>
      <c r="C70" s="11"/>
      <c r="D70" s="11"/>
      <c r="E70" s="11"/>
    </row>
    <row r="71" customFormat="false" ht="15" hidden="false" customHeight="false" outlineLevel="0" collapsed="false">
      <c r="A71" s="11"/>
      <c r="B71" s="11"/>
      <c r="C71" s="11"/>
      <c r="D71" s="11"/>
      <c r="E71" s="11"/>
    </row>
    <row r="72" customFormat="false" ht="15" hidden="false" customHeight="false" outlineLevel="0" collapsed="false">
      <c r="A72" s="11"/>
      <c r="B72" s="11"/>
      <c r="C72" s="11"/>
      <c r="D72" s="11"/>
      <c r="E72" s="11"/>
    </row>
    <row r="73" customFormat="false" ht="15" hidden="false" customHeight="false" outlineLevel="0" collapsed="false">
      <c r="A73" s="11"/>
      <c r="B73" s="11"/>
      <c r="C73" s="11"/>
      <c r="D73" s="11"/>
      <c r="E73" s="11"/>
    </row>
    <row r="74" customFormat="false" ht="15" hidden="false" customHeight="false" outlineLevel="0" collapsed="false">
      <c r="A74" s="11"/>
      <c r="B74" s="11"/>
      <c r="C74" s="11"/>
      <c r="D74" s="11"/>
      <c r="E74" s="11"/>
    </row>
    <row r="75" customFormat="false" ht="15" hidden="false" customHeight="false" outlineLevel="0" collapsed="false">
      <c r="A75" s="11"/>
      <c r="B75" s="11"/>
      <c r="C75" s="11"/>
      <c r="D75" s="11"/>
      <c r="E75" s="11"/>
    </row>
    <row r="76" customFormat="false" ht="15" hidden="false" customHeight="false" outlineLevel="0" collapsed="false">
      <c r="A76" s="11"/>
      <c r="B76" s="11"/>
      <c r="C76" s="11"/>
      <c r="D76" s="11"/>
      <c r="E76" s="11"/>
    </row>
    <row r="77" customFormat="false" ht="15" hidden="false" customHeight="false" outlineLevel="0" collapsed="false">
      <c r="A77" s="11"/>
      <c r="B77" s="11"/>
      <c r="C77" s="11"/>
      <c r="D77" s="11"/>
      <c r="E77" s="11"/>
    </row>
    <row r="78" customFormat="false" ht="15" hidden="false" customHeight="false" outlineLevel="0" collapsed="false">
      <c r="A78" s="11"/>
      <c r="B78" s="11"/>
      <c r="C78" s="11"/>
      <c r="D78" s="11"/>
      <c r="E78" s="11"/>
    </row>
    <row r="79" customFormat="false" ht="15" hidden="false" customHeight="false" outlineLevel="0" collapsed="false">
      <c r="A79" s="11"/>
      <c r="B79" s="11"/>
      <c r="C79" s="11"/>
      <c r="D79" s="11"/>
      <c r="E79" s="11"/>
    </row>
    <row r="80" customFormat="false" ht="15" hidden="false" customHeight="false" outlineLevel="0" collapsed="false">
      <c r="A80" s="11"/>
      <c r="B80" s="11"/>
      <c r="C80" s="11"/>
      <c r="D80" s="11"/>
      <c r="E80" s="11"/>
    </row>
    <row r="81" customFormat="false" ht="15" hidden="false" customHeight="false" outlineLevel="0" collapsed="false">
      <c r="A81" s="11"/>
      <c r="B81" s="11"/>
      <c r="C81" s="11"/>
      <c r="D81" s="11"/>
      <c r="E81" s="11"/>
    </row>
    <row r="82" customFormat="false" ht="15" hidden="false" customHeight="false" outlineLevel="0" collapsed="false">
      <c r="A82" s="11"/>
      <c r="B82" s="11"/>
      <c r="C82" s="11"/>
      <c r="D82" s="11"/>
      <c r="E82" s="11"/>
    </row>
    <row r="83" customFormat="false" ht="15" hidden="false" customHeight="false" outlineLevel="0" collapsed="false">
      <c r="A83" s="11"/>
      <c r="B83" s="11"/>
      <c r="C83" s="11"/>
      <c r="D83" s="11"/>
      <c r="E83" s="11"/>
    </row>
    <row r="84" customFormat="false" ht="15" hidden="false" customHeight="false" outlineLevel="0" collapsed="false">
      <c r="A84" s="11"/>
      <c r="B84" s="11"/>
      <c r="C84" s="11"/>
      <c r="D84" s="11"/>
      <c r="E84" s="11"/>
    </row>
    <row r="85" customFormat="false" ht="15" hidden="false" customHeight="false" outlineLevel="0" collapsed="false">
      <c r="A85" s="11"/>
      <c r="B85" s="11"/>
      <c r="C85" s="11"/>
      <c r="D85" s="11"/>
      <c r="E85" s="11"/>
    </row>
    <row r="86" customFormat="false" ht="15" hidden="false" customHeight="false" outlineLevel="0" collapsed="false">
      <c r="A86" s="11"/>
      <c r="B86" s="11"/>
      <c r="C86" s="11"/>
      <c r="D86" s="11"/>
      <c r="E86" s="11"/>
    </row>
    <row r="87" customFormat="false" ht="15" hidden="false" customHeight="false" outlineLevel="0" collapsed="false">
      <c r="A87" s="11"/>
      <c r="B87" s="11"/>
      <c r="C87" s="11"/>
      <c r="D87" s="11"/>
      <c r="E87" s="11"/>
    </row>
    <row r="88" customFormat="false" ht="15" hidden="false" customHeight="false" outlineLevel="0" collapsed="false">
      <c r="A88" s="11"/>
      <c r="B88" s="11"/>
      <c r="C88" s="11"/>
      <c r="D88" s="11"/>
      <c r="E88" s="11"/>
    </row>
    <row r="89" customFormat="false" ht="15" hidden="false" customHeight="false" outlineLevel="0" collapsed="false">
      <c r="A89" s="11"/>
      <c r="B89" s="11"/>
      <c r="C89" s="11"/>
      <c r="D89" s="11"/>
      <c r="E89" s="11"/>
    </row>
    <row r="90" customFormat="false" ht="15" hidden="false" customHeight="false" outlineLevel="0" collapsed="false">
      <c r="A90" s="11"/>
      <c r="B90" s="11"/>
      <c r="C90" s="11"/>
      <c r="D90" s="11"/>
      <c r="E90" s="11"/>
    </row>
    <row r="91" customFormat="false" ht="15" hidden="false" customHeight="false" outlineLevel="0" collapsed="false">
      <c r="A91" s="11"/>
      <c r="B91" s="11"/>
      <c r="C91" s="11"/>
      <c r="D91" s="11"/>
      <c r="E91" s="11"/>
    </row>
    <row r="92" customFormat="false" ht="15" hidden="false" customHeight="false" outlineLevel="0" collapsed="false">
      <c r="A92" s="11"/>
      <c r="B92" s="11"/>
      <c r="C92" s="11"/>
      <c r="D92" s="11"/>
      <c r="E92" s="11"/>
    </row>
    <row r="93" customFormat="false" ht="15" hidden="false" customHeight="false" outlineLevel="0" collapsed="false">
      <c r="A93" s="11"/>
      <c r="B93" s="11"/>
      <c r="C93" s="11"/>
      <c r="D93" s="11"/>
      <c r="E93" s="11"/>
    </row>
    <row r="94" customFormat="false" ht="15" hidden="false" customHeight="false" outlineLevel="0" collapsed="false">
      <c r="A94" s="11"/>
      <c r="B94" s="11"/>
      <c r="C94" s="11"/>
      <c r="D94" s="11"/>
      <c r="E94" s="11"/>
    </row>
    <row r="95" customFormat="false" ht="15" hidden="false" customHeight="false" outlineLevel="0" collapsed="false">
      <c r="A95" s="11"/>
      <c r="B95" s="11"/>
      <c r="C95" s="11"/>
      <c r="D95" s="11"/>
      <c r="E95" s="11"/>
    </row>
    <row r="96" customFormat="false" ht="15" hidden="false" customHeight="false" outlineLevel="0" collapsed="false">
      <c r="A96" s="11"/>
      <c r="B96" s="11"/>
      <c r="C96" s="11"/>
      <c r="D96" s="11"/>
      <c r="E96" s="11"/>
    </row>
    <row r="97" customFormat="false" ht="15" hidden="false" customHeight="false" outlineLevel="0" collapsed="false">
      <c r="A97" s="11"/>
      <c r="B97" s="11"/>
      <c r="C97" s="11"/>
      <c r="D97" s="11"/>
      <c r="E97" s="11"/>
    </row>
    <row r="98" customFormat="false" ht="15" hidden="false" customHeight="false" outlineLevel="0" collapsed="false">
      <c r="A98" s="11"/>
      <c r="B98" s="11"/>
      <c r="C98" s="11"/>
      <c r="D98" s="11"/>
      <c r="E98" s="11"/>
    </row>
    <row r="99" customFormat="false" ht="15" hidden="false" customHeight="false" outlineLevel="0" collapsed="false">
      <c r="A99" s="11"/>
      <c r="B99" s="11"/>
      <c r="C99" s="11"/>
      <c r="D99" s="11"/>
      <c r="E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</row>
  </sheetData>
  <autoFilter ref="A1:E201"/>
  <dataValidations count="1">
    <dataValidation allowBlank="true" errorStyle="stop" operator="between" showDropDown="false" showErrorMessage="false" showInputMessage="false" sqref="E2:E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0"/>
  </cols>
  <sheetData>
    <row r="1" customFormat="false" ht="30" hidden="false" customHeight="true" outlineLevel="0" collapsed="false">
      <c r="A1" s="9" t="s">
        <v>454</v>
      </c>
      <c r="B1" s="9" t="s">
        <v>554</v>
      </c>
      <c r="C1" s="9" t="s">
        <v>555</v>
      </c>
      <c r="D1" s="9" t="s">
        <v>556</v>
      </c>
      <c r="E1" s="9" t="s">
        <v>557</v>
      </c>
      <c r="F1" s="9" t="s">
        <v>558</v>
      </c>
      <c r="G1" s="9" t="s">
        <v>536</v>
      </c>
      <c r="H1" s="9" t="s">
        <v>538</v>
      </c>
    </row>
    <row r="2" customFormat="false" ht="15" hidden="false" customHeight="false" outlineLevel="0" collapsed="false">
      <c r="A2" s="12" t="s">
        <v>546</v>
      </c>
      <c r="B2" s="12" t="s">
        <v>559</v>
      </c>
      <c r="C2" s="12" t="s">
        <v>560</v>
      </c>
      <c r="D2" s="12" t="s">
        <v>561</v>
      </c>
      <c r="E2" s="12" t="s">
        <v>544</v>
      </c>
      <c r="F2" s="12" t="s">
        <v>562</v>
      </c>
      <c r="G2" s="12" t="s">
        <v>544</v>
      </c>
      <c r="H2" s="12" t="s">
        <v>545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</row>
  </sheetData>
  <autoFilter ref="A1:H201"/>
  <dataValidations count="2">
    <dataValidation allowBlank="true" errorStyle="stop" operator="between" showDropDown="false" showErrorMessage="false" showInputMessage="false" sqref="C2:C201" type="list">
      <formula1>"Main,Alternative"</formula1>
      <formula2>0</formula2>
    </dataValidation>
    <dataValidation allowBlank="true" errorStyle="stop" operator="between" showDropDown="false" showErrorMessage="false" showInputMessage="false" sqref="H2:H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6" min="5" style="0" width="22"/>
    <col collapsed="false" customWidth="true" hidden="false" outlineLevel="0" max="7" min="7" style="0" width="8"/>
    <col collapsed="false" customWidth="true" hidden="false" outlineLevel="0" max="8" min="8" style="0" width="10"/>
  </cols>
  <sheetData>
    <row r="1" customFormat="false" ht="30" hidden="false" customHeight="true" outlineLevel="0" collapsed="false">
      <c r="A1" s="9" t="s">
        <v>454</v>
      </c>
      <c r="B1" s="9" t="s">
        <v>563</v>
      </c>
      <c r="C1" s="9" t="s">
        <v>564</v>
      </c>
      <c r="D1" s="9" t="s">
        <v>565</v>
      </c>
      <c r="E1" s="9" t="s">
        <v>566</v>
      </c>
      <c r="F1" s="9" t="s">
        <v>567</v>
      </c>
      <c r="G1" s="9" t="s">
        <v>536</v>
      </c>
      <c r="H1" s="9" t="s">
        <v>538</v>
      </c>
    </row>
    <row r="2" customFormat="false" ht="23.85" hidden="false" customHeight="false" outlineLevel="0" collapsed="false">
      <c r="A2" s="12" t="s">
        <v>546</v>
      </c>
      <c r="B2" s="12" t="s">
        <v>568</v>
      </c>
      <c r="C2" s="12" t="s">
        <v>569</v>
      </c>
      <c r="D2" s="12" t="s">
        <v>570</v>
      </c>
      <c r="E2" s="12" t="s">
        <v>571</v>
      </c>
      <c r="F2" s="12" t="s">
        <v>572</v>
      </c>
      <c r="G2" s="12" t="s">
        <v>544</v>
      </c>
      <c r="H2" s="12" t="s">
        <v>545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</row>
  </sheetData>
  <autoFilter ref="A1:H201"/>
  <dataValidations count="2">
    <dataValidation allowBlank="true" errorStyle="stop" operator="between" showDropDown="false" showErrorMessage="false" showInputMessage="false" sqref="C2:C201" type="list">
      <formula1>"institutional,cultural,geographic,psychic,other"</formula1>
      <formula2>0</formula2>
    </dataValidation>
    <dataValidation allowBlank="true" errorStyle="stop" operator="between" showDropDown="false" showErrorMessage="false" showInputMessage="false" sqref="H2:H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9" t="s">
        <v>454</v>
      </c>
      <c r="B1" s="9" t="s">
        <v>573</v>
      </c>
      <c r="C1" s="9" t="s">
        <v>574</v>
      </c>
      <c r="D1" s="9" t="s">
        <v>575</v>
      </c>
      <c r="E1" s="9" t="s">
        <v>576</v>
      </c>
      <c r="F1" s="9" t="s">
        <v>577</v>
      </c>
      <c r="G1" s="9" t="s">
        <v>578</v>
      </c>
      <c r="H1" s="9" t="s">
        <v>579</v>
      </c>
      <c r="I1" s="9" t="s">
        <v>536</v>
      </c>
      <c r="J1" s="9" t="s">
        <v>538</v>
      </c>
    </row>
    <row r="2" customFormat="false" ht="35.05" hidden="false" customHeight="false" outlineLevel="0" collapsed="false">
      <c r="A2" s="12" t="s">
        <v>546</v>
      </c>
      <c r="B2" s="12" t="s">
        <v>580</v>
      </c>
      <c r="C2" s="12" t="s">
        <v>581</v>
      </c>
      <c r="D2" s="12" t="s">
        <v>582</v>
      </c>
      <c r="E2" s="12" t="s">
        <v>583</v>
      </c>
      <c r="F2" s="12" t="s">
        <v>584</v>
      </c>
      <c r="G2" s="12" t="s">
        <v>585</v>
      </c>
      <c r="H2" s="12" t="s">
        <v>586</v>
      </c>
      <c r="I2" s="12" t="s">
        <v>544</v>
      </c>
      <c r="J2" s="12" t="s">
        <v>545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</sheetData>
  <autoFilter ref="A1:J201"/>
  <dataValidations count="3">
    <dataValidation allowBlank="true" errorStyle="stop" operator="between" showDropDown="false" showErrorMessage="false" showInputMessage="false" sqref="C2:C201" type="list">
      <formula1>"Tested,Suggested"</formula1>
      <formula2>0</formula2>
    </dataValidation>
    <dataValidation allowBlank="true" errorStyle="stop" operator="between" showDropDown="false" showErrorMessage="false" showInputMessage="false" sqref="D2:D201" type="list">
      <formula1>"investor,deal,venture,home country,host country,country pair,time"</formula1>
      <formula2>0</formula2>
    </dataValidation>
    <dataValidation allowBlank="true" errorStyle="stop" operator="between" showDropDown="false" showErrorMessage="false" showInputMessage="false" sqref="J2:J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10"/>
  </cols>
  <sheetData>
    <row r="1" customFormat="false" ht="30" hidden="false" customHeight="true" outlineLevel="0" collapsed="false">
      <c r="A1" s="9" t="s">
        <v>454</v>
      </c>
      <c r="B1" s="9" t="s">
        <v>587</v>
      </c>
      <c r="C1" s="9" t="s">
        <v>575</v>
      </c>
      <c r="D1" s="9" t="s">
        <v>588</v>
      </c>
      <c r="E1" s="9" t="s">
        <v>558</v>
      </c>
      <c r="F1" s="9" t="s">
        <v>536</v>
      </c>
      <c r="G1" s="9" t="s">
        <v>538</v>
      </c>
    </row>
    <row r="2" customFormat="false" ht="23.85" hidden="false" customHeight="false" outlineLevel="0" collapsed="false">
      <c r="A2" s="12" t="s">
        <v>546</v>
      </c>
      <c r="B2" s="12" t="s">
        <v>589</v>
      </c>
      <c r="C2" s="12" t="s">
        <v>582</v>
      </c>
      <c r="D2" s="12" t="s">
        <v>590</v>
      </c>
      <c r="E2" s="12" t="s">
        <v>562</v>
      </c>
      <c r="F2" s="12" t="s">
        <v>544</v>
      </c>
      <c r="G2" s="12" t="s">
        <v>545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</row>
  </sheetData>
  <autoFilter ref="A1:G201"/>
  <dataValidations count="2">
    <dataValidation allowBlank="true" errorStyle="stop" operator="between" showDropDown="false" showErrorMessage="false" showInputMessage="false" sqref="C2:C201" type="list">
      <formula1>"investor,deal,venture,home country,host country,country pair,time"</formula1>
      <formula2>0</formula2>
    </dataValidation>
    <dataValidation allowBlank="true" errorStyle="stop" operator="between" showDropDown="false" showErrorMessage="false" showInputMessage="false" sqref="G2:G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30" hidden="false" customHeight="true" outlineLevel="0" collapsed="false">
      <c r="A1" s="9" t="s">
        <v>454</v>
      </c>
      <c r="B1" s="9" t="s">
        <v>591</v>
      </c>
      <c r="C1" s="9" t="s">
        <v>536</v>
      </c>
      <c r="D1" s="9" t="s">
        <v>538</v>
      </c>
    </row>
    <row r="2" customFormat="false" ht="15" hidden="false" customHeight="false" outlineLevel="0" collapsed="false">
      <c r="A2" s="12" t="s">
        <v>546</v>
      </c>
      <c r="B2" s="12" t="s">
        <v>592</v>
      </c>
      <c r="C2" s="12" t="s">
        <v>544</v>
      </c>
      <c r="D2" s="12" t="s">
        <v>545</v>
      </c>
    </row>
    <row r="3" customFormat="false" ht="15" hidden="false" customHeight="false" outlineLevel="0" collapsed="false">
      <c r="A3" s="11"/>
      <c r="B3" s="11"/>
      <c r="C3" s="11"/>
      <c r="D3" s="11"/>
    </row>
    <row r="4" customFormat="false" ht="15" hidden="false" customHeight="false" outlineLevel="0" collapsed="false">
      <c r="A4" s="11"/>
      <c r="B4" s="11"/>
      <c r="C4" s="11"/>
      <c r="D4" s="11"/>
    </row>
    <row r="5" customFormat="false" ht="15" hidden="false" customHeight="false" outlineLevel="0" collapsed="false">
      <c r="A5" s="11"/>
      <c r="B5" s="11"/>
      <c r="C5" s="11"/>
      <c r="D5" s="11"/>
    </row>
    <row r="6" customFormat="false" ht="15" hidden="false" customHeight="false" outlineLevel="0" collapsed="false">
      <c r="A6" s="11"/>
      <c r="B6" s="11"/>
      <c r="C6" s="11"/>
      <c r="D6" s="11"/>
    </row>
    <row r="7" customFormat="false" ht="15" hidden="false" customHeight="false" outlineLevel="0" collapsed="false">
      <c r="A7" s="11"/>
      <c r="B7" s="11"/>
      <c r="C7" s="11"/>
      <c r="D7" s="11"/>
    </row>
    <row r="8" customFormat="false" ht="15" hidden="false" customHeight="false" outlineLevel="0" collapsed="false">
      <c r="A8" s="11"/>
      <c r="B8" s="11"/>
      <c r="C8" s="11"/>
      <c r="D8" s="11"/>
    </row>
    <row r="9" customFormat="false" ht="15" hidden="false" customHeight="false" outlineLevel="0" collapsed="false">
      <c r="A9" s="11"/>
      <c r="B9" s="11"/>
      <c r="C9" s="11"/>
      <c r="D9" s="11"/>
    </row>
    <row r="10" customFormat="false" ht="15" hidden="false" customHeight="false" outlineLevel="0" collapsed="false">
      <c r="A10" s="11"/>
      <c r="B10" s="11"/>
      <c r="C10" s="11"/>
      <c r="D10" s="11"/>
    </row>
    <row r="11" customFormat="false" ht="15" hidden="false" customHeight="false" outlineLevel="0" collapsed="false">
      <c r="A11" s="11"/>
      <c r="B11" s="11"/>
      <c r="C11" s="11"/>
      <c r="D11" s="11"/>
    </row>
    <row r="12" customFormat="false" ht="15" hidden="false" customHeight="false" outlineLevel="0" collapsed="false">
      <c r="A12" s="11"/>
      <c r="B12" s="11"/>
      <c r="C12" s="11"/>
      <c r="D12" s="11"/>
    </row>
    <row r="13" customFormat="false" ht="15" hidden="false" customHeight="false" outlineLevel="0" collapsed="false">
      <c r="A13" s="11"/>
      <c r="B13" s="11"/>
      <c r="C13" s="11"/>
      <c r="D13" s="11"/>
    </row>
    <row r="14" customFormat="false" ht="15" hidden="false" customHeight="false" outlineLevel="0" collapsed="false">
      <c r="A14" s="11"/>
      <c r="B14" s="11"/>
      <c r="C14" s="11"/>
      <c r="D14" s="11"/>
    </row>
    <row r="15" customFormat="false" ht="15" hidden="false" customHeight="false" outlineLevel="0" collapsed="false">
      <c r="A15" s="11"/>
      <c r="B15" s="11"/>
      <c r="C15" s="11"/>
      <c r="D15" s="11"/>
    </row>
    <row r="16" customFormat="false" ht="15" hidden="false" customHeight="false" outlineLevel="0" collapsed="false">
      <c r="A16" s="11"/>
      <c r="B16" s="11"/>
      <c r="C16" s="11"/>
      <c r="D16" s="11"/>
    </row>
    <row r="17" customFormat="false" ht="15" hidden="false" customHeight="false" outlineLevel="0" collapsed="false">
      <c r="A17" s="11"/>
      <c r="B17" s="11"/>
      <c r="C17" s="11"/>
      <c r="D17" s="11"/>
    </row>
    <row r="18" customFormat="false" ht="15" hidden="false" customHeight="false" outlineLevel="0" collapsed="false">
      <c r="A18" s="11"/>
      <c r="B18" s="11"/>
      <c r="C18" s="11"/>
      <c r="D18" s="11"/>
    </row>
    <row r="19" customFormat="false" ht="15" hidden="false" customHeight="false" outlineLevel="0" collapsed="false">
      <c r="A19" s="11"/>
      <c r="B19" s="11"/>
      <c r="C19" s="11"/>
      <c r="D19" s="11"/>
    </row>
    <row r="20" customFormat="false" ht="15" hidden="false" customHeight="false" outlineLevel="0" collapsed="false">
      <c r="A20" s="11"/>
      <c r="B20" s="11"/>
      <c r="C20" s="11"/>
      <c r="D20" s="11"/>
    </row>
    <row r="21" customFormat="false" ht="15" hidden="false" customHeight="false" outlineLevel="0" collapsed="false">
      <c r="A21" s="11"/>
      <c r="B21" s="11"/>
      <c r="C21" s="11"/>
      <c r="D21" s="11"/>
    </row>
    <row r="22" customFormat="false" ht="15" hidden="false" customHeight="false" outlineLevel="0" collapsed="false">
      <c r="A22" s="11"/>
      <c r="B22" s="11"/>
      <c r="C22" s="11"/>
      <c r="D22" s="11"/>
    </row>
    <row r="23" customFormat="false" ht="15" hidden="false" customHeight="false" outlineLevel="0" collapsed="false">
      <c r="A23" s="11"/>
      <c r="B23" s="11"/>
      <c r="C23" s="11"/>
      <c r="D23" s="11"/>
    </row>
    <row r="24" customFormat="false" ht="15" hidden="false" customHeight="false" outlineLevel="0" collapsed="false">
      <c r="A24" s="11"/>
      <c r="B24" s="11"/>
      <c r="C24" s="11"/>
      <c r="D24" s="11"/>
    </row>
    <row r="25" customFormat="false" ht="15" hidden="false" customHeight="false" outlineLevel="0" collapsed="false">
      <c r="A25" s="11"/>
      <c r="B25" s="11"/>
      <c r="C25" s="11"/>
      <c r="D25" s="11"/>
    </row>
    <row r="26" customFormat="false" ht="15" hidden="false" customHeight="false" outlineLevel="0" collapsed="false">
      <c r="A26" s="11"/>
      <c r="B26" s="11"/>
      <c r="C26" s="11"/>
      <c r="D26" s="11"/>
    </row>
    <row r="27" customFormat="false" ht="15" hidden="false" customHeight="false" outlineLevel="0" collapsed="false">
      <c r="A27" s="11"/>
      <c r="B27" s="11"/>
      <c r="C27" s="11"/>
      <c r="D27" s="11"/>
    </row>
    <row r="28" customFormat="false" ht="15" hidden="false" customHeight="false" outlineLevel="0" collapsed="false">
      <c r="A28" s="11"/>
      <c r="B28" s="11"/>
      <c r="C28" s="11"/>
      <c r="D28" s="11"/>
    </row>
    <row r="29" customFormat="false" ht="15" hidden="false" customHeight="false" outlineLevel="0" collapsed="false">
      <c r="A29" s="11"/>
      <c r="B29" s="11"/>
      <c r="C29" s="11"/>
      <c r="D29" s="11"/>
    </row>
    <row r="30" customFormat="false" ht="15" hidden="false" customHeight="false" outlineLevel="0" collapsed="false">
      <c r="A30" s="11"/>
      <c r="B30" s="11"/>
      <c r="C30" s="11"/>
      <c r="D30" s="11"/>
    </row>
    <row r="31" customFormat="false" ht="15" hidden="false" customHeight="false" outlineLevel="0" collapsed="false">
      <c r="A31" s="11"/>
      <c r="B31" s="11"/>
      <c r="C31" s="11"/>
      <c r="D31" s="11"/>
    </row>
    <row r="32" customFormat="false" ht="15" hidden="false" customHeight="false" outlineLevel="0" collapsed="false">
      <c r="A32" s="11"/>
      <c r="B32" s="11"/>
      <c r="C32" s="11"/>
      <c r="D32" s="11"/>
    </row>
    <row r="33" customFormat="false" ht="15" hidden="false" customHeight="false" outlineLevel="0" collapsed="false">
      <c r="A33" s="11"/>
      <c r="B33" s="11"/>
      <c r="C33" s="11"/>
      <c r="D33" s="11"/>
    </row>
    <row r="34" customFormat="false" ht="15" hidden="false" customHeight="false" outlineLevel="0" collapsed="false">
      <c r="A34" s="11"/>
      <c r="B34" s="11"/>
      <c r="C34" s="11"/>
      <c r="D34" s="11"/>
    </row>
    <row r="35" customFormat="false" ht="15" hidden="false" customHeight="false" outlineLevel="0" collapsed="false">
      <c r="A35" s="11"/>
      <c r="B35" s="11"/>
      <c r="C35" s="11"/>
      <c r="D35" s="11"/>
    </row>
    <row r="36" customFormat="false" ht="15" hidden="false" customHeight="false" outlineLevel="0" collapsed="false">
      <c r="A36" s="11"/>
      <c r="B36" s="11"/>
      <c r="C36" s="11"/>
      <c r="D36" s="11"/>
    </row>
    <row r="37" customFormat="false" ht="15" hidden="false" customHeight="false" outlineLevel="0" collapsed="false">
      <c r="A37" s="11"/>
      <c r="B37" s="11"/>
      <c r="C37" s="11"/>
      <c r="D37" s="11"/>
    </row>
    <row r="38" customFormat="false" ht="15" hidden="false" customHeight="false" outlineLevel="0" collapsed="false">
      <c r="A38" s="11"/>
      <c r="B38" s="11"/>
      <c r="C38" s="11"/>
      <c r="D38" s="11"/>
    </row>
    <row r="39" customFormat="false" ht="15" hidden="false" customHeight="false" outlineLevel="0" collapsed="false">
      <c r="A39" s="11"/>
      <c r="B39" s="11"/>
      <c r="C39" s="11"/>
      <c r="D39" s="11"/>
    </row>
    <row r="40" customFormat="false" ht="15" hidden="false" customHeight="false" outlineLevel="0" collapsed="false">
      <c r="A40" s="11"/>
      <c r="B40" s="11"/>
      <c r="C40" s="11"/>
      <c r="D40" s="11"/>
    </row>
    <row r="41" customFormat="false" ht="15" hidden="false" customHeight="false" outlineLevel="0" collapsed="false">
      <c r="A41" s="11"/>
      <c r="B41" s="11"/>
      <c r="C41" s="11"/>
      <c r="D41" s="11"/>
    </row>
    <row r="42" customFormat="false" ht="15" hidden="false" customHeight="false" outlineLevel="0" collapsed="false">
      <c r="A42" s="11"/>
      <c r="B42" s="11"/>
      <c r="C42" s="11"/>
      <c r="D42" s="11"/>
    </row>
    <row r="43" customFormat="false" ht="15" hidden="false" customHeight="false" outlineLevel="0" collapsed="false">
      <c r="A43" s="11"/>
      <c r="B43" s="11"/>
      <c r="C43" s="11"/>
      <c r="D43" s="11"/>
    </row>
    <row r="44" customFormat="false" ht="15" hidden="false" customHeight="false" outlineLevel="0" collapsed="false">
      <c r="A44" s="11"/>
      <c r="B44" s="11"/>
      <c r="C44" s="11"/>
      <c r="D44" s="11"/>
    </row>
    <row r="45" customFormat="false" ht="15" hidden="false" customHeight="false" outlineLevel="0" collapsed="false">
      <c r="A45" s="11"/>
      <c r="B45" s="11"/>
      <c r="C45" s="11"/>
      <c r="D45" s="11"/>
    </row>
    <row r="46" customFormat="false" ht="15" hidden="false" customHeight="false" outlineLevel="0" collapsed="false">
      <c r="A46" s="11"/>
      <c r="B46" s="11"/>
      <c r="C46" s="11"/>
      <c r="D46" s="11"/>
    </row>
    <row r="47" customFormat="false" ht="15" hidden="false" customHeight="false" outlineLevel="0" collapsed="false">
      <c r="A47" s="11"/>
      <c r="B47" s="11"/>
      <c r="C47" s="11"/>
      <c r="D47" s="11"/>
    </row>
    <row r="48" customFormat="false" ht="15" hidden="false" customHeight="false" outlineLevel="0" collapsed="false">
      <c r="A48" s="11"/>
      <c r="B48" s="11"/>
      <c r="C48" s="11"/>
      <c r="D48" s="11"/>
    </row>
    <row r="49" customFormat="false" ht="15" hidden="false" customHeight="false" outlineLevel="0" collapsed="false">
      <c r="A49" s="11"/>
      <c r="B49" s="11"/>
      <c r="C49" s="11"/>
      <c r="D49" s="11"/>
    </row>
    <row r="50" customFormat="false" ht="15" hidden="false" customHeight="false" outlineLevel="0" collapsed="false">
      <c r="A50" s="11"/>
      <c r="B50" s="11"/>
      <c r="C50" s="11"/>
      <c r="D50" s="11"/>
    </row>
    <row r="51" customFormat="false" ht="15" hidden="false" customHeight="false" outlineLevel="0" collapsed="false">
      <c r="A51" s="11"/>
      <c r="B51" s="11"/>
      <c r="C51" s="11"/>
      <c r="D51" s="11"/>
    </row>
    <row r="52" customFormat="false" ht="15" hidden="false" customHeight="false" outlineLevel="0" collapsed="false">
      <c r="A52" s="11"/>
      <c r="B52" s="11"/>
      <c r="C52" s="11"/>
      <c r="D52" s="11"/>
    </row>
    <row r="53" customFormat="false" ht="15" hidden="false" customHeight="false" outlineLevel="0" collapsed="false">
      <c r="A53" s="11"/>
      <c r="B53" s="11"/>
      <c r="C53" s="11"/>
      <c r="D53" s="11"/>
    </row>
    <row r="54" customFormat="false" ht="15" hidden="false" customHeight="false" outlineLevel="0" collapsed="false">
      <c r="A54" s="11"/>
      <c r="B54" s="11"/>
      <c r="C54" s="11"/>
      <c r="D54" s="11"/>
    </row>
    <row r="55" customFormat="false" ht="15" hidden="false" customHeight="false" outlineLevel="0" collapsed="false">
      <c r="A55" s="11"/>
      <c r="B55" s="11"/>
      <c r="C55" s="11"/>
      <c r="D55" s="11"/>
    </row>
    <row r="56" customFormat="false" ht="15" hidden="false" customHeight="false" outlineLevel="0" collapsed="false">
      <c r="A56" s="11"/>
      <c r="B56" s="11"/>
      <c r="C56" s="11"/>
      <c r="D56" s="11"/>
    </row>
    <row r="57" customFormat="false" ht="15" hidden="false" customHeight="false" outlineLevel="0" collapsed="false">
      <c r="A57" s="11"/>
      <c r="B57" s="11"/>
      <c r="C57" s="11"/>
      <c r="D57" s="11"/>
    </row>
    <row r="58" customFormat="false" ht="15" hidden="false" customHeight="false" outlineLevel="0" collapsed="false">
      <c r="A58" s="11"/>
      <c r="B58" s="11"/>
      <c r="C58" s="11"/>
      <c r="D58" s="11"/>
    </row>
    <row r="59" customFormat="false" ht="15" hidden="false" customHeight="false" outlineLevel="0" collapsed="false">
      <c r="A59" s="11"/>
      <c r="B59" s="11"/>
      <c r="C59" s="11"/>
      <c r="D59" s="11"/>
    </row>
    <row r="60" customFormat="false" ht="15" hidden="false" customHeight="false" outlineLevel="0" collapsed="false">
      <c r="A60" s="11"/>
      <c r="B60" s="11"/>
      <c r="C60" s="11"/>
      <c r="D60" s="11"/>
    </row>
    <row r="61" customFormat="false" ht="15" hidden="false" customHeight="false" outlineLevel="0" collapsed="false">
      <c r="A61" s="11"/>
      <c r="B61" s="11"/>
      <c r="C61" s="11"/>
      <c r="D61" s="11"/>
    </row>
    <row r="62" customFormat="false" ht="15" hidden="false" customHeight="false" outlineLevel="0" collapsed="false">
      <c r="A62" s="11"/>
      <c r="B62" s="11"/>
      <c r="C62" s="11"/>
      <c r="D62" s="11"/>
    </row>
    <row r="63" customFormat="false" ht="15" hidden="false" customHeight="false" outlineLevel="0" collapsed="false">
      <c r="A63" s="11"/>
      <c r="B63" s="11"/>
      <c r="C63" s="11"/>
      <c r="D63" s="11"/>
    </row>
    <row r="64" customFormat="false" ht="15" hidden="false" customHeight="false" outlineLevel="0" collapsed="false">
      <c r="A64" s="11"/>
      <c r="B64" s="11"/>
      <c r="C64" s="11"/>
      <c r="D64" s="11"/>
    </row>
    <row r="65" customFormat="false" ht="15" hidden="false" customHeight="false" outlineLevel="0" collapsed="false">
      <c r="A65" s="11"/>
      <c r="B65" s="11"/>
      <c r="C65" s="11"/>
      <c r="D65" s="11"/>
    </row>
    <row r="66" customFormat="false" ht="15" hidden="false" customHeight="false" outlineLevel="0" collapsed="false">
      <c r="A66" s="11"/>
      <c r="B66" s="11"/>
      <c r="C66" s="11"/>
      <c r="D66" s="11"/>
    </row>
    <row r="67" customFormat="false" ht="15" hidden="false" customHeight="false" outlineLevel="0" collapsed="false">
      <c r="A67" s="11"/>
      <c r="B67" s="11"/>
      <c r="C67" s="11"/>
      <c r="D67" s="11"/>
    </row>
    <row r="68" customFormat="false" ht="15" hidden="false" customHeight="false" outlineLevel="0" collapsed="false">
      <c r="A68" s="11"/>
      <c r="B68" s="11"/>
      <c r="C68" s="11"/>
      <c r="D68" s="11"/>
    </row>
    <row r="69" customFormat="false" ht="15" hidden="false" customHeight="false" outlineLevel="0" collapsed="false">
      <c r="A69" s="11"/>
      <c r="B69" s="11"/>
      <c r="C69" s="11"/>
      <c r="D69" s="11"/>
    </row>
    <row r="70" customFormat="false" ht="15" hidden="false" customHeight="false" outlineLevel="0" collapsed="false">
      <c r="A70" s="11"/>
      <c r="B70" s="11"/>
      <c r="C70" s="11"/>
      <c r="D70" s="11"/>
    </row>
    <row r="71" customFormat="false" ht="15" hidden="false" customHeight="false" outlineLevel="0" collapsed="false">
      <c r="A71" s="11"/>
      <c r="B71" s="11"/>
      <c r="C71" s="11"/>
      <c r="D71" s="11"/>
    </row>
    <row r="72" customFormat="false" ht="15" hidden="false" customHeight="false" outlineLevel="0" collapsed="false">
      <c r="A72" s="11"/>
      <c r="B72" s="11"/>
      <c r="C72" s="11"/>
      <c r="D72" s="11"/>
    </row>
    <row r="73" customFormat="false" ht="15" hidden="false" customHeight="false" outlineLevel="0" collapsed="false">
      <c r="A73" s="11"/>
      <c r="B73" s="11"/>
      <c r="C73" s="11"/>
      <c r="D73" s="11"/>
    </row>
    <row r="74" customFormat="false" ht="15" hidden="false" customHeight="false" outlineLevel="0" collapsed="false">
      <c r="A74" s="11"/>
      <c r="B74" s="11"/>
      <c r="C74" s="11"/>
      <c r="D74" s="11"/>
    </row>
    <row r="75" customFormat="false" ht="15" hidden="false" customHeight="false" outlineLevel="0" collapsed="false">
      <c r="A75" s="11"/>
      <c r="B75" s="11"/>
      <c r="C75" s="11"/>
      <c r="D75" s="11"/>
    </row>
    <row r="76" customFormat="false" ht="15" hidden="false" customHeight="false" outlineLevel="0" collapsed="false">
      <c r="A76" s="11"/>
      <c r="B76" s="11"/>
      <c r="C76" s="11"/>
      <c r="D76" s="11"/>
    </row>
    <row r="77" customFormat="false" ht="15" hidden="false" customHeight="false" outlineLevel="0" collapsed="false">
      <c r="A77" s="11"/>
      <c r="B77" s="11"/>
      <c r="C77" s="11"/>
      <c r="D77" s="11"/>
    </row>
    <row r="78" customFormat="false" ht="15" hidden="false" customHeight="false" outlineLevel="0" collapsed="false">
      <c r="A78" s="11"/>
      <c r="B78" s="11"/>
      <c r="C78" s="11"/>
      <c r="D78" s="11"/>
    </row>
    <row r="79" customFormat="false" ht="15" hidden="false" customHeight="false" outlineLevel="0" collapsed="false">
      <c r="A79" s="11"/>
      <c r="B79" s="11"/>
      <c r="C79" s="11"/>
      <c r="D79" s="11"/>
    </row>
    <row r="80" customFormat="false" ht="15" hidden="false" customHeight="false" outlineLevel="0" collapsed="false">
      <c r="A80" s="11"/>
      <c r="B80" s="11"/>
      <c r="C80" s="11"/>
      <c r="D80" s="11"/>
    </row>
    <row r="81" customFormat="false" ht="15" hidden="false" customHeight="false" outlineLevel="0" collapsed="false">
      <c r="A81" s="11"/>
      <c r="B81" s="11"/>
      <c r="C81" s="11"/>
      <c r="D81" s="11"/>
    </row>
    <row r="82" customFormat="false" ht="15" hidden="false" customHeight="false" outlineLevel="0" collapsed="false">
      <c r="A82" s="11"/>
      <c r="B82" s="11"/>
      <c r="C82" s="11"/>
      <c r="D82" s="11"/>
    </row>
    <row r="83" customFormat="false" ht="15" hidden="false" customHeight="false" outlineLevel="0" collapsed="false">
      <c r="A83" s="11"/>
      <c r="B83" s="11"/>
      <c r="C83" s="11"/>
      <c r="D83" s="11"/>
    </row>
    <row r="84" customFormat="false" ht="15" hidden="false" customHeight="false" outlineLevel="0" collapsed="false">
      <c r="A84" s="11"/>
      <c r="B84" s="11"/>
      <c r="C84" s="11"/>
      <c r="D84" s="11"/>
    </row>
    <row r="85" customFormat="false" ht="15" hidden="false" customHeight="false" outlineLevel="0" collapsed="false">
      <c r="A85" s="11"/>
      <c r="B85" s="11"/>
      <c r="C85" s="11"/>
      <c r="D85" s="11"/>
    </row>
    <row r="86" customFormat="false" ht="15" hidden="false" customHeight="false" outlineLevel="0" collapsed="false">
      <c r="A86" s="11"/>
      <c r="B86" s="11"/>
      <c r="C86" s="11"/>
      <c r="D86" s="11"/>
    </row>
    <row r="87" customFormat="false" ht="15" hidden="false" customHeight="false" outlineLevel="0" collapsed="false">
      <c r="A87" s="11"/>
      <c r="B87" s="11"/>
      <c r="C87" s="11"/>
      <c r="D87" s="11"/>
    </row>
    <row r="88" customFormat="false" ht="15" hidden="false" customHeight="false" outlineLevel="0" collapsed="false">
      <c r="A88" s="11"/>
      <c r="B88" s="11"/>
      <c r="C88" s="11"/>
      <c r="D88" s="11"/>
    </row>
    <row r="89" customFormat="false" ht="15" hidden="false" customHeight="false" outlineLevel="0" collapsed="false">
      <c r="A89" s="11"/>
      <c r="B89" s="11"/>
      <c r="C89" s="11"/>
      <c r="D89" s="11"/>
    </row>
    <row r="90" customFormat="false" ht="15" hidden="false" customHeight="false" outlineLevel="0" collapsed="false">
      <c r="A90" s="11"/>
      <c r="B90" s="11"/>
      <c r="C90" s="11"/>
      <c r="D90" s="11"/>
    </row>
    <row r="91" customFormat="false" ht="15" hidden="false" customHeight="false" outlineLevel="0" collapsed="false">
      <c r="A91" s="11"/>
      <c r="B91" s="11"/>
      <c r="C91" s="11"/>
      <c r="D91" s="11"/>
    </row>
    <row r="92" customFormat="false" ht="15" hidden="false" customHeight="false" outlineLevel="0" collapsed="false">
      <c r="A92" s="11"/>
      <c r="B92" s="11"/>
      <c r="C92" s="11"/>
      <c r="D92" s="11"/>
    </row>
    <row r="93" customFormat="false" ht="15" hidden="false" customHeight="false" outlineLevel="0" collapsed="false">
      <c r="A93" s="11"/>
      <c r="B93" s="11"/>
      <c r="C93" s="11"/>
      <c r="D93" s="11"/>
    </row>
    <row r="94" customFormat="false" ht="15" hidden="false" customHeight="false" outlineLevel="0" collapsed="false">
      <c r="A94" s="11"/>
      <c r="B94" s="11"/>
      <c r="C94" s="11"/>
      <c r="D94" s="11"/>
    </row>
    <row r="95" customFormat="false" ht="15" hidden="false" customHeight="false" outlineLevel="0" collapsed="false">
      <c r="A95" s="11"/>
      <c r="B95" s="11"/>
      <c r="C95" s="11"/>
      <c r="D95" s="11"/>
    </row>
    <row r="96" customFormat="false" ht="15" hidden="false" customHeight="false" outlineLevel="0" collapsed="false">
      <c r="A96" s="11"/>
      <c r="B96" s="11"/>
      <c r="C96" s="11"/>
      <c r="D96" s="11"/>
    </row>
    <row r="97" customFormat="false" ht="15" hidden="false" customHeight="false" outlineLevel="0" collapsed="false">
      <c r="A97" s="11"/>
      <c r="B97" s="11"/>
      <c r="C97" s="11"/>
      <c r="D97" s="11"/>
    </row>
    <row r="98" customFormat="false" ht="15" hidden="false" customHeight="false" outlineLevel="0" collapsed="false">
      <c r="A98" s="11"/>
      <c r="B98" s="11"/>
      <c r="C98" s="11"/>
      <c r="D98" s="11"/>
    </row>
    <row r="99" customFormat="false" ht="15" hidden="false" customHeight="false" outlineLevel="0" collapsed="false">
      <c r="A99" s="11"/>
      <c r="B99" s="11"/>
      <c r="C99" s="11"/>
      <c r="D99" s="11"/>
    </row>
    <row r="100" customFormat="false" ht="15" hidden="false" customHeight="false" outlineLevel="0" collapsed="false">
      <c r="A100" s="11"/>
      <c r="B100" s="11"/>
      <c r="C100" s="11"/>
      <c r="D100" s="11"/>
    </row>
    <row r="101" customFormat="false" ht="15" hidden="false" customHeight="false" outlineLevel="0" collapsed="false">
      <c r="A101" s="11"/>
      <c r="B101" s="11"/>
      <c r="C101" s="11"/>
      <c r="D101" s="11"/>
    </row>
    <row r="102" customFormat="false" ht="15" hidden="false" customHeight="false" outlineLevel="0" collapsed="false">
      <c r="A102" s="11"/>
      <c r="B102" s="11"/>
      <c r="C102" s="11"/>
      <c r="D102" s="11"/>
    </row>
    <row r="103" customFormat="false" ht="15" hidden="false" customHeight="false" outlineLevel="0" collapsed="false">
      <c r="A103" s="11"/>
      <c r="B103" s="11"/>
      <c r="C103" s="11"/>
      <c r="D103" s="11"/>
    </row>
    <row r="104" customFormat="false" ht="15" hidden="false" customHeight="false" outlineLevel="0" collapsed="false">
      <c r="A104" s="11"/>
      <c r="B104" s="11"/>
      <c r="C104" s="11"/>
      <c r="D104" s="11"/>
    </row>
    <row r="105" customFormat="false" ht="15" hidden="false" customHeight="false" outlineLevel="0" collapsed="false">
      <c r="A105" s="11"/>
      <c r="B105" s="11"/>
      <c r="C105" s="11"/>
      <c r="D105" s="11"/>
    </row>
    <row r="106" customFormat="false" ht="15" hidden="false" customHeight="false" outlineLevel="0" collapsed="false">
      <c r="A106" s="11"/>
      <c r="B106" s="11"/>
      <c r="C106" s="11"/>
      <c r="D106" s="11"/>
    </row>
    <row r="107" customFormat="false" ht="15" hidden="false" customHeight="false" outlineLevel="0" collapsed="false">
      <c r="A107" s="11"/>
      <c r="B107" s="11"/>
      <c r="C107" s="11"/>
      <c r="D107" s="11"/>
    </row>
    <row r="108" customFormat="false" ht="15" hidden="false" customHeight="false" outlineLevel="0" collapsed="false">
      <c r="A108" s="11"/>
      <c r="B108" s="11"/>
      <c r="C108" s="11"/>
      <c r="D108" s="11"/>
    </row>
    <row r="109" customFormat="false" ht="15" hidden="false" customHeight="false" outlineLevel="0" collapsed="false">
      <c r="A109" s="11"/>
      <c r="B109" s="11"/>
      <c r="C109" s="11"/>
      <c r="D109" s="11"/>
    </row>
    <row r="110" customFormat="false" ht="15" hidden="false" customHeight="false" outlineLevel="0" collapsed="false">
      <c r="A110" s="11"/>
      <c r="B110" s="11"/>
      <c r="C110" s="11"/>
      <c r="D110" s="11"/>
    </row>
    <row r="111" customFormat="false" ht="15" hidden="false" customHeight="false" outlineLevel="0" collapsed="false">
      <c r="A111" s="11"/>
      <c r="B111" s="11"/>
      <c r="C111" s="11"/>
      <c r="D111" s="11"/>
    </row>
    <row r="112" customFormat="false" ht="15" hidden="false" customHeight="false" outlineLevel="0" collapsed="false">
      <c r="A112" s="11"/>
      <c r="B112" s="11"/>
      <c r="C112" s="11"/>
      <c r="D112" s="11"/>
    </row>
    <row r="113" customFormat="false" ht="15" hidden="false" customHeight="false" outlineLevel="0" collapsed="false">
      <c r="A113" s="11"/>
      <c r="B113" s="11"/>
      <c r="C113" s="11"/>
      <c r="D113" s="11"/>
    </row>
    <row r="114" customFormat="false" ht="15" hidden="false" customHeight="false" outlineLevel="0" collapsed="false">
      <c r="A114" s="11"/>
      <c r="B114" s="11"/>
      <c r="C114" s="11"/>
      <c r="D114" s="11"/>
    </row>
    <row r="115" customFormat="false" ht="15" hidden="false" customHeight="false" outlineLevel="0" collapsed="false">
      <c r="A115" s="11"/>
      <c r="B115" s="11"/>
      <c r="C115" s="11"/>
      <c r="D115" s="11"/>
    </row>
    <row r="116" customFormat="false" ht="15" hidden="false" customHeight="false" outlineLevel="0" collapsed="false">
      <c r="A116" s="11"/>
      <c r="B116" s="11"/>
      <c r="C116" s="11"/>
      <c r="D116" s="11"/>
    </row>
    <row r="117" customFormat="false" ht="15" hidden="false" customHeight="false" outlineLevel="0" collapsed="false">
      <c r="A117" s="11"/>
      <c r="B117" s="11"/>
      <c r="C117" s="11"/>
      <c r="D117" s="11"/>
    </row>
    <row r="118" customFormat="false" ht="15" hidden="false" customHeight="false" outlineLevel="0" collapsed="false">
      <c r="A118" s="11"/>
      <c r="B118" s="11"/>
      <c r="C118" s="11"/>
      <c r="D118" s="11"/>
    </row>
    <row r="119" customFormat="false" ht="15" hidden="false" customHeight="false" outlineLevel="0" collapsed="false">
      <c r="A119" s="11"/>
      <c r="B119" s="11"/>
      <c r="C119" s="11"/>
      <c r="D119" s="11"/>
    </row>
    <row r="120" customFormat="false" ht="15" hidden="false" customHeight="false" outlineLevel="0" collapsed="false">
      <c r="A120" s="11"/>
      <c r="B120" s="11"/>
      <c r="C120" s="11"/>
      <c r="D120" s="11"/>
    </row>
    <row r="121" customFormat="false" ht="15" hidden="false" customHeight="false" outlineLevel="0" collapsed="false">
      <c r="A121" s="11"/>
      <c r="B121" s="11"/>
      <c r="C121" s="11"/>
      <c r="D121" s="11"/>
    </row>
    <row r="122" customFormat="false" ht="15" hidden="false" customHeight="false" outlineLevel="0" collapsed="false">
      <c r="A122" s="11"/>
      <c r="B122" s="11"/>
      <c r="C122" s="11"/>
      <c r="D122" s="11"/>
    </row>
    <row r="123" customFormat="false" ht="15" hidden="false" customHeight="false" outlineLevel="0" collapsed="false">
      <c r="A123" s="11"/>
      <c r="B123" s="11"/>
      <c r="C123" s="11"/>
      <c r="D123" s="11"/>
    </row>
    <row r="124" customFormat="false" ht="15" hidden="false" customHeight="false" outlineLevel="0" collapsed="false">
      <c r="A124" s="11"/>
      <c r="B124" s="11"/>
      <c r="C124" s="11"/>
      <c r="D124" s="11"/>
    </row>
    <row r="125" customFormat="false" ht="15" hidden="false" customHeight="false" outlineLevel="0" collapsed="false">
      <c r="A125" s="11"/>
      <c r="B125" s="11"/>
      <c r="C125" s="11"/>
      <c r="D125" s="11"/>
    </row>
    <row r="126" customFormat="false" ht="15" hidden="false" customHeight="false" outlineLevel="0" collapsed="false">
      <c r="A126" s="11"/>
      <c r="B126" s="11"/>
      <c r="C126" s="11"/>
      <c r="D126" s="11"/>
    </row>
    <row r="127" customFormat="false" ht="15" hidden="false" customHeight="false" outlineLevel="0" collapsed="false">
      <c r="A127" s="11"/>
      <c r="B127" s="11"/>
      <c r="C127" s="11"/>
      <c r="D127" s="11"/>
    </row>
    <row r="128" customFormat="false" ht="15" hidden="false" customHeight="false" outlineLevel="0" collapsed="false">
      <c r="A128" s="11"/>
      <c r="B128" s="11"/>
      <c r="C128" s="11"/>
      <c r="D128" s="11"/>
    </row>
    <row r="129" customFormat="false" ht="15" hidden="false" customHeight="false" outlineLevel="0" collapsed="false">
      <c r="A129" s="11"/>
      <c r="B129" s="11"/>
      <c r="C129" s="11"/>
      <c r="D129" s="11"/>
    </row>
    <row r="130" customFormat="false" ht="15" hidden="false" customHeight="false" outlineLevel="0" collapsed="false">
      <c r="A130" s="11"/>
      <c r="B130" s="11"/>
      <c r="C130" s="11"/>
      <c r="D130" s="11"/>
    </row>
    <row r="131" customFormat="false" ht="15" hidden="false" customHeight="false" outlineLevel="0" collapsed="false">
      <c r="A131" s="11"/>
      <c r="B131" s="11"/>
      <c r="C131" s="11"/>
      <c r="D131" s="11"/>
    </row>
    <row r="132" customFormat="false" ht="15" hidden="false" customHeight="false" outlineLevel="0" collapsed="false">
      <c r="A132" s="11"/>
      <c r="B132" s="11"/>
      <c r="C132" s="11"/>
      <c r="D132" s="11"/>
    </row>
    <row r="133" customFormat="false" ht="15" hidden="false" customHeight="false" outlineLevel="0" collapsed="false">
      <c r="A133" s="11"/>
      <c r="B133" s="11"/>
      <c r="C133" s="11"/>
      <c r="D133" s="11"/>
    </row>
    <row r="134" customFormat="false" ht="15" hidden="false" customHeight="false" outlineLevel="0" collapsed="false">
      <c r="A134" s="11"/>
      <c r="B134" s="11"/>
      <c r="C134" s="11"/>
      <c r="D134" s="11"/>
    </row>
    <row r="135" customFormat="false" ht="15" hidden="false" customHeight="false" outlineLevel="0" collapsed="false">
      <c r="A135" s="11"/>
      <c r="B135" s="11"/>
      <c r="C135" s="11"/>
      <c r="D135" s="11"/>
    </row>
    <row r="136" customFormat="false" ht="15" hidden="false" customHeight="false" outlineLevel="0" collapsed="false">
      <c r="A136" s="11"/>
      <c r="B136" s="11"/>
      <c r="C136" s="11"/>
      <c r="D136" s="11"/>
    </row>
    <row r="137" customFormat="false" ht="15" hidden="false" customHeight="false" outlineLevel="0" collapsed="false">
      <c r="A137" s="11"/>
      <c r="B137" s="11"/>
      <c r="C137" s="11"/>
      <c r="D137" s="11"/>
    </row>
    <row r="138" customFormat="false" ht="15" hidden="false" customHeight="false" outlineLevel="0" collapsed="false">
      <c r="A138" s="11"/>
      <c r="B138" s="11"/>
      <c r="C138" s="11"/>
      <c r="D138" s="11"/>
    </row>
    <row r="139" customFormat="false" ht="15" hidden="false" customHeight="false" outlineLevel="0" collapsed="false">
      <c r="A139" s="11"/>
      <c r="B139" s="11"/>
      <c r="C139" s="11"/>
      <c r="D139" s="11"/>
    </row>
    <row r="140" customFormat="false" ht="15" hidden="false" customHeight="false" outlineLevel="0" collapsed="false">
      <c r="A140" s="11"/>
      <c r="B140" s="11"/>
      <c r="C140" s="11"/>
      <c r="D140" s="11"/>
    </row>
    <row r="141" customFormat="false" ht="15" hidden="false" customHeight="false" outlineLevel="0" collapsed="false">
      <c r="A141" s="11"/>
      <c r="B141" s="11"/>
      <c r="C141" s="11"/>
      <c r="D141" s="11"/>
    </row>
    <row r="142" customFormat="false" ht="15" hidden="false" customHeight="false" outlineLevel="0" collapsed="false">
      <c r="A142" s="11"/>
      <c r="B142" s="11"/>
      <c r="C142" s="11"/>
      <c r="D142" s="11"/>
    </row>
    <row r="143" customFormat="false" ht="15" hidden="false" customHeight="false" outlineLevel="0" collapsed="false">
      <c r="A143" s="11"/>
      <c r="B143" s="11"/>
      <c r="C143" s="11"/>
      <c r="D143" s="11"/>
    </row>
    <row r="144" customFormat="false" ht="15" hidden="false" customHeight="false" outlineLevel="0" collapsed="false">
      <c r="A144" s="11"/>
      <c r="B144" s="11"/>
      <c r="C144" s="11"/>
      <c r="D144" s="11"/>
    </row>
    <row r="145" customFormat="false" ht="15" hidden="false" customHeight="false" outlineLevel="0" collapsed="false">
      <c r="A145" s="11"/>
      <c r="B145" s="11"/>
      <c r="C145" s="11"/>
      <c r="D145" s="11"/>
    </row>
    <row r="146" customFormat="false" ht="15" hidden="false" customHeight="false" outlineLevel="0" collapsed="false">
      <c r="A146" s="11"/>
      <c r="B146" s="11"/>
      <c r="C146" s="11"/>
      <c r="D146" s="11"/>
    </row>
    <row r="147" customFormat="false" ht="15" hidden="false" customHeight="false" outlineLevel="0" collapsed="false">
      <c r="A147" s="11"/>
      <c r="B147" s="11"/>
      <c r="C147" s="11"/>
      <c r="D147" s="11"/>
    </row>
    <row r="148" customFormat="false" ht="15" hidden="false" customHeight="false" outlineLevel="0" collapsed="false">
      <c r="A148" s="11"/>
      <c r="B148" s="11"/>
      <c r="C148" s="11"/>
      <c r="D148" s="11"/>
    </row>
    <row r="149" customFormat="false" ht="15" hidden="false" customHeight="false" outlineLevel="0" collapsed="false">
      <c r="A149" s="11"/>
      <c r="B149" s="11"/>
      <c r="C149" s="11"/>
      <c r="D149" s="11"/>
    </row>
    <row r="150" customFormat="false" ht="15" hidden="false" customHeight="false" outlineLevel="0" collapsed="false">
      <c r="A150" s="11"/>
      <c r="B150" s="11"/>
      <c r="C150" s="11"/>
      <c r="D150" s="11"/>
    </row>
    <row r="151" customFormat="false" ht="15" hidden="false" customHeight="false" outlineLevel="0" collapsed="false">
      <c r="A151" s="11"/>
      <c r="B151" s="11"/>
      <c r="C151" s="11"/>
      <c r="D151" s="11"/>
    </row>
    <row r="152" customFormat="false" ht="15" hidden="false" customHeight="false" outlineLevel="0" collapsed="false">
      <c r="A152" s="11"/>
      <c r="B152" s="11"/>
      <c r="C152" s="11"/>
      <c r="D152" s="11"/>
    </row>
    <row r="153" customFormat="false" ht="15" hidden="false" customHeight="false" outlineLevel="0" collapsed="false">
      <c r="A153" s="11"/>
      <c r="B153" s="11"/>
      <c r="C153" s="11"/>
      <c r="D153" s="11"/>
    </row>
    <row r="154" customFormat="false" ht="15" hidden="false" customHeight="false" outlineLevel="0" collapsed="false">
      <c r="A154" s="11"/>
      <c r="B154" s="11"/>
      <c r="C154" s="11"/>
      <c r="D154" s="11"/>
    </row>
    <row r="155" customFormat="false" ht="15" hidden="false" customHeight="false" outlineLevel="0" collapsed="false">
      <c r="A155" s="11"/>
      <c r="B155" s="11"/>
      <c r="C155" s="11"/>
      <c r="D155" s="11"/>
    </row>
    <row r="156" customFormat="false" ht="15" hidden="false" customHeight="false" outlineLevel="0" collapsed="false">
      <c r="A156" s="11"/>
      <c r="B156" s="11"/>
      <c r="C156" s="11"/>
      <c r="D156" s="11"/>
    </row>
    <row r="157" customFormat="false" ht="15" hidden="false" customHeight="false" outlineLevel="0" collapsed="false">
      <c r="A157" s="11"/>
      <c r="B157" s="11"/>
      <c r="C157" s="11"/>
      <c r="D157" s="11"/>
    </row>
    <row r="158" customFormat="false" ht="15" hidden="false" customHeight="false" outlineLevel="0" collapsed="false">
      <c r="A158" s="11"/>
      <c r="B158" s="11"/>
      <c r="C158" s="11"/>
      <c r="D158" s="11"/>
    </row>
    <row r="159" customFormat="false" ht="15" hidden="false" customHeight="false" outlineLevel="0" collapsed="false">
      <c r="A159" s="11"/>
      <c r="B159" s="11"/>
      <c r="C159" s="11"/>
      <c r="D159" s="11"/>
    </row>
    <row r="160" customFormat="false" ht="15" hidden="false" customHeight="false" outlineLevel="0" collapsed="false">
      <c r="A160" s="11"/>
      <c r="B160" s="11"/>
      <c r="C160" s="11"/>
      <c r="D160" s="11"/>
    </row>
    <row r="161" customFormat="false" ht="15" hidden="false" customHeight="false" outlineLevel="0" collapsed="false">
      <c r="A161" s="11"/>
      <c r="B161" s="11"/>
      <c r="C161" s="11"/>
      <c r="D161" s="11"/>
    </row>
    <row r="162" customFormat="false" ht="15" hidden="false" customHeight="false" outlineLevel="0" collapsed="false">
      <c r="A162" s="11"/>
      <c r="B162" s="11"/>
      <c r="C162" s="11"/>
      <c r="D162" s="11"/>
    </row>
    <row r="163" customFormat="false" ht="15" hidden="false" customHeight="false" outlineLevel="0" collapsed="false">
      <c r="A163" s="11"/>
      <c r="B163" s="11"/>
      <c r="C163" s="11"/>
      <c r="D163" s="11"/>
    </row>
    <row r="164" customFormat="false" ht="15" hidden="false" customHeight="false" outlineLevel="0" collapsed="false">
      <c r="A164" s="11"/>
      <c r="B164" s="11"/>
      <c r="C164" s="11"/>
      <c r="D164" s="11"/>
    </row>
    <row r="165" customFormat="false" ht="15" hidden="false" customHeight="false" outlineLevel="0" collapsed="false">
      <c r="A165" s="11"/>
      <c r="B165" s="11"/>
      <c r="C165" s="11"/>
      <c r="D165" s="11"/>
    </row>
    <row r="166" customFormat="false" ht="15" hidden="false" customHeight="false" outlineLevel="0" collapsed="false">
      <c r="A166" s="11"/>
      <c r="B166" s="11"/>
      <c r="C166" s="11"/>
      <c r="D166" s="11"/>
    </row>
    <row r="167" customFormat="false" ht="15" hidden="false" customHeight="false" outlineLevel="0" collapsed="false">
      <c r="A167" s="11"/>
      <c r="B167" s="11"/>
      <c r="C167" s="11"/>
      <c r="D167" s="11"/>
    </row>
    <row r="168" customFormat="false" ht="15" hidden="false" customHeight="false" outlineLevel="0" collapsed="false">
      <c r="A168" s="11"/>
      <c r="B168" s="11"/>
      <c r="C168" s="11"/>
      <c r="D168" s="11"/>
    </row>
    <row r="169" customFormat="false" ht="15" hidden="false" customHeight="false" outlineLevel="0" collapsed="false">
      <c r="A169" s="11"/>
      <c r="B169" s="11"/>
      <c r="C169" s="11"/>
      <c r="D169" s="11"/>
    </row>
    <row r="170" customFormat="false" ht="15" hidden="false" customHeight="false" outlineLevel="0" collapsed="false">
      <c r="A170" s="11"/>
      <c r="B170" s="11"/>
      <c r="C170" s="11"/>
      <c r="D170" s="11"/>
    </row>
    <row r="171" customFormat="false" ht="15" hidden="false" customHeight="false" outlineLevel="0" collapsed="false">
      <c r="A171" s="11"/>
      <c r="B171" s="11"/>
      <c r="C171" s="11"/>
      <c r="D171" s="11"/>
    </row>
    <row r="172" customFormat="false" ht="15" hidden="false" customHeight="false" outlineLevel="0" collapsed="false">
      <c r="A172" s="11"/>
      <c r="B172" s="11"/>
      <c r="C172" s="11"/>
      <c r="D172" s="11"/>
    </row>
    <row r="173" customFormat="false" ht="15" hidden="false" customHeight="false" outlineLevel="0" collapsed="false">
      <c r="A173" s="11"/>
      <c r="B173" s="11"/>
      <c r="C173" s="11"/>
      <c r="D173" s="11"/>
    </row>
    <row r="174" customFormat="false" ht="15" hidden="false" customHeight="false" outlineLevel="0" collapsed="false">
      <c r="A174" s="11"/>
      <c r="B174" s="11"/>
      <c r="C174" s="11"/>
      <c r="D174" s="11"/>
    </row>
    <row r="175" customFormat="false" ht="15" hidden="false" customHeight="false" outlineLevel="0" collapsed="false">
      <c r="A175" s="11"/>
      <c r="B175" s="11"/>
      <c r="C175" s="11"/>
      <c r="D175" s="11"/>
    </row>
    <row r="176" customFormat="false" ht="15" hidden="false" customHeight="false" outlineLevel="0" collapsed="false">
      <c r="A176" s="11"/>
      <c r="B176" s="11"/>
      <c r="C176" s="11"/>
      <c r="D176" s="11"/>
    </row>
    <row r="177" customFormat="false" ht="15" hidden="false" customHeight="false" outlineLevel="0" collapsed="false">
      <c r="A177" s="11"/>
      <c r="B177" s="11"/>
      <c r="C177" s="11"/>
      <c r="D177" s="11"/>
    </row>
    <row r="178" customFormat="false" ht="15" hidden="false" customHeight="false" outlineLevel="0" collapsed="false">
      <c r="A178" s="11"/>
      <c r="B178" s="11"/>
      <c r="C178" s="11"/>
      <c r="D178" s="11"/>
    </row>
    <row r="179" customFormat="false" ht="15" hidden="false" customHeight="false" outlineLevel="0" collapsed="false">
      <c r="A179" s="11"/>
      <c r="B179" s="11"/>
      <c r="C179" s="11"/>
      <c r="D179" s="11"/>
    </row>
    <row r="180" customFormat="false" ht="15" hidden="false" customHeight="false" outlineLevel="0" collapsed="false">
      <c r="A180" s="11"/>
      <c r="B180" s="11"/>
      <c r="C180" s="11"/>
      <c r="D180" s="11"/>
    </row>
    <row r="181" customFormat="false" ht="15" hidden="false" customHeight="false" outlineLevel="0" collapsed="false">
      <c r="A181" s="11"/>
      <c r="B181" s="11"/>
      <c r="C181" s="11"/>
      <c r="D181" s="11"/>
    </row>
    <row r="182" customFormat="false" ht="15" hidden="false" customHeight="false" outlineLevel="0" collapsed="false">
      <c r="A182" s="11"/>
      <c r="B182" s="11"/>
      <c r="C182" s="11"/>
      <c r="D182" s="11"/>
    </row>
    <row r="183" customFormat="false" ht="15" hidden="false" customHeight="false" outlineLevel="0" collapsed="false">
      <c r="A183" s="11"/>
      <c r="B183" s="11"/>
      <c r="C183" s="11"/>
      <c r="D183" s="11"/>
    </row>
    <row r="184" customFormat="false" ht="15" hidden="false" customHeight="false" outlineLevel="0" collapsed="false">
      <c r="A184" s="11"/>
      <c r="B184" s="11"/>
      <c r="C184" s="11"/>
      <c r="D184" s="11"/>
    </row>
    <row r="185" customFormat="false" ht="15" hidden="false" customHeight="false" outlineLevel="0" collapsed="false">
      <c r="A185" s="11"/>
      <c r="B185" s="11"/>
      <c r="C185" s="11"/>
      <c r="D185" s="11"/>
    </row>
    <row r="186" customFormat="false" ht="15" hidden="false" customHeight="false" outlineLevel="0" collapsed="false">
      <c r="A186" s="11"/>
      <c r="B186" s="11"/>
      <c r="C186" s="11"/>
      <c r="D186" s="11"/>
    </row>
    <row r="187" customFormat="false" ht="15" hidden="false" customHeight="false" outlineLevel="0" collapsed="false">
      <c r="A187" s="11"/>
      <c r="B187" s="11"/>
      <c r="C187" s="11"/>
      <c r="D187" s="11"/>
    </row>
    <row r="188" customFormat="false" ht="15" hidden="false" customHeight="false" outlineLevel="0" collapsed="false">
      <c r="A188" s="11"/>
      <c r="B188" s="11"/>
      <c r="C188" s="11"/>
      <c r="D188" s="11"/>
    </row>
    <row r="189" customFormat="false" ht="15" hidden="false" customHeight="false" outlineLevel="0" collapsed="false">
      <c r="A189" s="11"/>
      <c r="B189" s="11"/>
      <c r="C189" s="11"/>
      <c r="D189" s="11"/>
    </row>
    <row r="190" customFormat="false" ht="15" hidden="false" customHeight="false" outlineLevel="0" collapsed="false">
      <c r="A190" s="11"/>
      <c r="B190" s="11"/>
      <c r="C190" s="11"/>
      <c r="D190" s="11"/>
    </row>
    <row r="191" customFormat="false" ht="15" hidden="false" customHeight="false" outlineLevel="0" collapsed="false">
      <c r="A191" s="11"/>
      <c r="B191" s="11"/>
      <c r="C191" s="11"/>
      <c r="D191" s="11"/>
    </row>
    <row r="192" customFormat="false" ht="15" hidden="false" customHeight="false" outlineLevel="0" collapsed="false">
      <c r="A192" s="11"/>
      <c r="B192" s="11"/>
      <c r="C192" s="11"/>
      <c r="D192" s="11"/>
    </row>
    <row r="193" customFormat="false" ht="15" hidden="false" customHeight="false" outlineLevel="0" collapsed="false">
      <c r="A193" s="11"/>
      <c r="B193" s="11"/>
      <c r="C193" s="11"/>
      <c r="D193" s="11"/>
    </row>
    <row r="194" customFormat="false" ht="15" hidden="false" customHeight="false" outlineLevel="0" collapsed="false">
      <c r="A194" s="11"/>
      <c r="B194" s="11"/>
      <c r="C194" s="11"/>
      <c r="D194" s="11"/>
    </row>
    <row r="195" customFormat="false" ht="15" hidden="false" customHeight="false" outlineLevel="0" collapsed="false">
      <c r="A195" s="11"/>
      <c r="B195" s="11"/>
      <c r="C195" s="11"/>
      <c r="D195" s="11"/>
    </row>
    <row r="196" customFormat="false" ht="15" hidden="false" customHeight="false" outlineLevel="0" collapsed="false">
      <c r="A196" s="11"/>
      <c r="B196" s="11"/>
      <c r="C196" s="11"/>
      <c r="D196" s="11"/>
    </row>
    <row r="197" customFormat="false" ht="15" hidden="false" customHeight="false" outlineLevel="0" collapsed="false">
      <c r="A197" s="11"/>
      <c r="B197" s="11"/>
      <c r="C197" s="11"/>
      <c r="D197" s="11"/>
    </row>
    <row r="198" customFormat="false" ht="15" hidden="false" customHeight="false" outlineLevel="0" collapsed="false">
      <c r="A198" s="11"/>
      <c r="B198" s="11"/>
      <c r="C198" s="11"/>
      <c r="D198" s="11"/>
    </row>
    <row r="199" customFormat="false" ht="15" hidden="false" customHeight="false" outlineLevel="0" collapsed="false">
      <c r="A199" s="11"/>
      <c r="B199" s="11"/>
      <c r="C199" s="11"/>
      <c r="D199" s="11"/>
    </row>
    <row r="200" customFormat="false" ht="15" hidden="false" customHeight="false" outlineLevel="0" collapsed="false">
      <c r="A200" s="11"/>
      <c r="B200" s="11"/>
      <c r="C200" s="11"/>
      <c r="D200" s="11"/>
    </row>
    <row r="201" customFormat="false" ht="15" hidden="false" customHeight="false" outlineLevel="0" collapsed="false">
      <c r="A201" s="11"/>
      <c r="B201" s="11"/>
      <c r="C201" s="11"/>
      <c r="D201" s="11"/>
    </row>
  </sheetData>
  <autoFilter ref="A1:D201"/>
  <dataValidations count="1">
    <dataValidation allowBlank="true" errorStyle="stop" operator="between" showDropDown="false" showErrorMessage="false" showInputMessage="false" sqref="D2:D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</cols>
  <sheetData>
    <row r="1" customFormat="false" ht="30" hidden="false" customHeight="true" outlineLevel="0" collapsed="false">
      <c r="A1" s="9" t="s">
        <v>454</v>
      </c>
      <c r="B1" s="9" t="s">
        <v>593</v>
      </c>
      <c r="C1" s="9" t="s">
        <v>594</v>
      </c>
      <c r="D1" s="9" t="s">
        <v>595</v>
      </c>
      <c r="E1" s="9" t="s">
        <v>536</v>
      </c>
      <c r="F1" s="9" t="s">
        <v>538</v>
      </c>
    </row>
    <row r="2" customFormat="false" ht="23.85" hidden="false" customHeight="false" outlineLevel="0" collapsed="false">
      <c r="A2" s="12" t="s">
        <v>546</v>
      </c>
      <c r="B2" s="12" t="s">
        <v>596</v>
      </c>
      <c r="C2" s="12" t="s">
        <v>597</v>
      </c>
      <c r="D2" s="12" t="s">
        <v>545</v>
      </c>
      <c r="E2" s="12" t="s">
        <v>544</v>
      </c>
      <c r="F2" s="12" t="s">
        <v>545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</row>
  </sheetData>
  <autoFilter ref="A1:F201"/>
  <dataValidations count="2">
    <dataValidation allowBlank="true" errorStyle="stop" operator="between" showDropDown="false" showErrorMessage="false" showInputMessage="false" sqref="D2:D201" type="list">
      <formula1>"Yes,No"</formula1>
      <formula2>0</formula2>
    </dataValidation>
    <dataValidation allowBlank="true" errorStyle="stop" operator="between" showDropDown="false" showErrorMessage="false" showInputMessage="false" sqref="F2:F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8"/>
    <col collapsed="false" customWidth="true" hidden="false" outlineLevel="0" max="6" min="6" style="0" width="10"/>
  </cols>
  <sheetData>
    <row r="1" customFormat="false" ht="30" hidden="false" customHeight="true" outlineLevel="0" collapsed="false">
      <c r="A1" s="9" t="s">
        <v>454</v>
      </c>
      <c r="B1" s="9" t="s">
        <v>598</v>
      </c>
      <c r="C1" s="9" t="s">
        <v>599</v>
      </c>
      <c r="D1" s="9" t="s">
        <v>600</v>
      </c>
      <c r="E1" s="9" t="s">
        <v>536</v>
      </c>
      <c r="F1" s="9" t="s">
        <v>538</v>
      </c>
    </row>
    <row r="2" customFormat="false" ht="15" hidden="false" customHeight="false" outlineLevel="0" collapsed="false">
      <c r="A2" s="12" t="s">
        <v>546</v>
      </c>
      <c r="B2" s="12" t="s">
        <v>562</v>
      </c>
      <c r="C2" s="12" t="s">
        <v>601</v>
      </c>
      <c r="D2" s="12" t="s">
        <v>544</v>
      </c>
      <c r="E2" s="12" t="s">
        <v>544</v>
      </c>
      <c r="F2" s="12" t="s">
        <v>545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</row>
  </sheetData>
  <autoFilter ref="A1:F201"/>
  <dataValidations count="1">
    <dataValidation allowBlank="true" errorStyle="stop" operator="between" showDropDown="false" showErrorMessage="false" showInputMessage="false" sqref="F2:F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</cols>
  <sheetData>
    <row r="1" customFormat="false" ht="30" hidden="false" customHeight="true" outlineLevel="0" collapsed="false">
      <c r="A1" s="9" t="s">
        <v>454</v>
      </c>
      <c r="B1" s="9" t="s">
        <v>564</v>
      </c>
      <c r="C1" s="9" t="s">
        <v>602</v>
      </c>
      <c r="D1" s="9" t="s">
        <v>603</v>
      </c>
      <c r="E1" s="9" t="s">
        <v>536</v>
      </c>
      <c r="F1" s="9" t="s">
        <v>538</v>
      </c>
    </row>
    <row r="2" customFormat="false" ht="23.85" hidden="false" customHeight="false" outlineLevel="0" collapsed="false">
      <c r="A2" s="12" t="s">
        <v>604</v>
      </c>
      <c r="B2" s="12" t="s">
        <v>605</v>
      </c>
      <c r="C2" s="12" t="s">
        <v>606</v>
      </c>
      <c r="D2" s="12" t="s">
        <v>607</v>
      </c>
      <c r="E2" s="12" t="s">
        <v>544</v>
      </c>
      <c r="F2" s="12" t="s">
        <v>545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</row>
  </sheetData>
  <autoFilter ref="A1:F201"/>
  <dataValidations count="3">
    <dataValidation allowBlank="true" errorStyle="stop" operator="between" showDropDown="false" showErrorMessage="false" showInputMessage="false" sqref="B2:B201" type="list">
      <formula1>"Limitation,Future research"</formula1>
      <formula2>0</formula2>
    </dataValidation>
    <dataValidation allowBlank="true" errorStyle="stop" operator="between" showDropDown="false" showErrorMessage="false" showInputMessage="false" sqref="D2:D201" type="list">
      <formula1>"Yes,No"</formula1>
      <formula2>0</formula2>
    </dataValidation>
    <dataValidation allowBlank="true" errorStyle="stop" operator="between" showDropDown="false" showErrorMessage="false" showInputMessage="false" sqref="F2:F2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9" min="9" style="0" width="3"/>
  </cols>
  <sheetData>
    <row r="1" customFormat="false" ht="17.35" hidden="false" customHeight="false" outlineLevel="0" collapsed="false">
      <c r="A1" s="4" t="s">
        <v>608</v>
      </c>
    </row>
    <row r="2" customFormat="false" ht="30" hidden="false" customHeight="true" outlineLevel="0" collapsed="false">
      <c r="A2" s="13" t="s">
        <v>609</v>
      </c>
      <c r="B2" s="13"/>
      <c r="C2" s="13"/>
      <c r="D2" s="13"/>
      <c r="E2" s="13"/>
      <c r="F2" s="13"/>
      <c r="G2" s="13"/>
      <c r="H2" s="13"/>
    </row>
    <row r="4" customFormat="false" ht="23.85" hidden="false" customHeight="false" outlineLevel="0" collapsed="false">
      <c r="A4" s="14" t="s">
        <v>610</v>
      </c>
      <c r="B4" s="14" t="s">
        <v>611</v>
      </c>
      <c r="C4" s="14" t="s">
        <v>612</v>
      </c>
      <c r="E4" s="14" t="s">
        <v>613</v>
      </c>
      <c r="F4" s="14" t="s">
        <v>581</v>
      </c>
      <c r="G4" s="14" t="s">
        <v>614</v>
      </c>
      <c r="H4" s="14" t="s">
        <v>612</v>
      </c>
    </row>
    <row r="5" customFormat="false" ht="15" hidden="false" customHeight="false" outlineLevel="0" collapsed="false">
      <c r="A5" s="15" t="s">
        <v>589</v>
      </c>
      <c r="B5" s="6" t="n">
        <f aca="false">IF(A5="","",COUNTIFS('L5 Controls'!$B$2:$B$300,A5,'L5 Controls'!$A$2:$A$300,"&lt;&gt;EXAMPLE*"))</f>
        <v>0</v>
      </c>
      <c r="C5" s="16"/>
      <c r="E5" s="15" t="s">
        <v>615</v>
      </c>
      <c r="F5" s="6" t="n">
        <f aca="false">IF(E5="","",COUNTIFS('L4 Moderators'!$B$2:$B$300,E5,'L4 Moderators'!$C$2:$C$300,"Tested",'L4 Moderators'!$A$2:$A$300,"&lt;&gt;EXAMPLE*"))</f>
        <v>0</v>
      </c>
      <c r="G5" s="6" t="n">
        <f aca="false">IF(E5="","",COUNTIFS('L4 Moderators'!$B$2:$B$300,E5,'L4 Moderators'!$C$2:$C$300,"Suggested",'L4 Moderators'!$A$2:$A$300,"&lt;&gt;EXAMPLE*"))</f>
        <v>0</v>
      </c>
      <c r="H5" s="16"/>
    </row>
    <row r="6" customFormat="false" ht="15" hidden="false" customHeight="false" outlineLevel="0" collapsed="false">
      <c r="A6" s="15" t="s">
        <v>616</v>
      </c>
      <c r="B6" s="6" t="n">
        <f aca="false">IF(A6="","",COUNTIFS('L5 Controls'!$B$2:$B$300,A6,'L5 Controls'!$A$2:$A$300,"&lt;&gt;EXAMPLE*"))</f>
        <v>0</v>
      </c>
      <c r="C6" s="16"/>
      <c r="E6" s="15" t="s">
        <v>617</v>
      </c>
      <c r="F6" s="6" t="n">
        <f aca="false">IF(E6="","",COUNTIFS('L4 Moderators'!$B$2:$B$300,E6,'L4 Moderators'!$C$2:$C$300,"Tested",'L4 Moderators'!$A$2:$A$300,"&lt;&gt;EXAMPLE*"))</f>
        <v>0</v>
      </c>
      <c r="G6" s="6" t="n">
        <f aca="false">IF(E6="","",COUNTIFS('L4 Moderators'!$B$2:$B$300,E6,'L4 Moderators'!$C$2:$C$300,"Suggested",'L4 Moderators'!$A$2:$A$300,"&lt;&gt;EXAMPLE*"))</f>
        <v>0</v>
      </c>
      <c r="H6" s="16"/>
    </row>
    <row r="7" customFormat="false" ht="15" hidden="false" customHeight="false" outlineLevel="0" collapsed="false">
      <c r="A7" s="15" t="s">
        <v>618</v>
      </c>
      <c r="B7" s="6" t="n">
        <f aca="false">IF(A7="","",COUNTIFS('L5 Controls'!$B$2:$B$300,A7,'L5 Controls'!$A$2:$A$300,"&lt;&gt;EXAMPLE*"))</f>
        <v>0</v>
      </c>
      <c r="C7" s="16"/>
      <c r="E7" s="15" t="s">
        <v>619</v>
      </c>
      <c r="F7" s="6" t="n">
        <f aca="false">IF(E7="","",COUNTIFS('L4 Moderators'!$B$2:$B$300,E7,'L4 Moderators'!$C$2:$C$300,"Tested",'L4 Moderators'!$A$2:$A$300,"&lt;&gt;EXAMPLE*"))</f>
        <v>0</v>
      </c>
      <c r="G7" s="6" t="n">
        <f aca="false">IF(E7="","",COUNTIFS('L4 Moderators'!$B$2:$B$300,E7,'L4 Moderators'!$C$2:$C$300,"Suggested",'L4 Moderators'!$A$2:$A$300,"&lt;&gt;EXAMPLE*"))</f>
        <v>0</v>
      </c>
      <c r="H7" s="16"/>
    </row>
    <row r="8" customFormat="false" ht="15" hidden="false" customHeight="false" outlineLevel="0" collapsed="false">
      <c r="A8" s="15" t="s">
        <v>615</v>
      </c>
      <c r="B8" s="6" t="n">
        <f aca="false">IF(A8="","",COUNTIFS('L5 Controls'!$B$2:$B$300,A8,'L5 Controls'!$A$2:$A$300,"&lt;&gt;EXAMPLE*"))</f>
        <v>0</v>
      </c>
      <c r="C8" s="16"/>
      <c r="E8" s="15" t="s">
        <v>620</v>
      </c>
      <c r="F8" s="6" t="n">
        <f aca="false">IF(E8="","",COUNTIFS('L4 Moderators'!$B$2:$B$300,E8,'L4 Moderators'!$C$2:$C$300,"Tested",'L4 Moderators'!$A$2:$A$300,"&lt;&gt;EXAMPLE*"))</f>
        <v>0</v>
      </c>
      <c r="G8" s="6" t="n">
        <f aca="false">IF(E8="","",COUNTIFS('L4 Moderators'!$B$2:$B$300,E8,'L4 Moderators'!$C$2:$C$300,"Suggested",'L4 Moderators'!$A$2:$A$300,"&lt;&gt;EXAMPLE*"))</f>
        <v>0</v>
      </c>
      <c r="H8" s="16"/>
    </row>
    <row r="9" customFormat="false" ht="15" hidden="false" customHeight="false" outlineLevel="0" collapsed="false">
      <c r="A9" s="15" t="s">
        <v>617</v>
      </c>
      <c r="B9" s="6" t="n">
        <f aca="false">IF(A9="","",COUNTIFS('L5 Controls'!$B$2:$B$300,A9,'L5 Controls'!$A$2:$A$300,"&lt;&gt;EXAMPLE*"))</f>
        <v>0</v>
      </c>
      <c r="C9" s="16"/>
      <c r="E9" s="15" t="s">
        <v>621</v>
      </c>
      <c r="F9" s="6" t="n">
        <f aca="false">IF(E9="","",COUNTIFS('L4 Moderators'!$B$2:$B$300,E9,'L4 Moderators'!$C$2:$C$300,"Tested",'L4 Moderators'!$A$2:$A$300,"&lt;&gt;EXAMPLE*"))</f>
        <v>0</v>
      </c>
      <c r="G9" s="6" t="n">
        <f aca="false">IF(E9="","",COUNTIFS('L4 Moderators'!$B$2:$B$300,E9,'L4 Moderators'!$C$2:$C$300,"Suggested",'L4 Moderators'!$A$2:$A$300,"&lt;&gt;EXAMPLE*"))</f>
        <v>0</v>
      </c>
      <c r="H9" s="16"/>
    </row>
    <row r="10" customFormat="false" ht="15" hidden="false" customHeight="false" outlineLevel="0" collapsed="false">
      <c r="A10" s="15" t="s">
        <v>622</v>
      </c>
      <c r="B10" s="6" t="n">
        <f aca="false">IF(A10="","",COUNTIFS('L5 Controls'!$B$2:$B$300,A10,'L5 Controls'!$A$2:$A$300,"&lt;&gt;EXAMPLE*"))</f>
        <v>0</v>
      </c>
      <c r="C10" s="16"/>
      <c r="E10" s="15" t="s">
        <v>623</v>
      </c>
      <c r="F10" s="6" t="n">
        <f aca="false">IF(E10="","",COUNTIFS('L4 Moderators'!$B$2:$B$300,E10,'L4 Moderators'!$C$2:$C$300,"Tested",'L4 Moderators'!$A$2:$A$300,"&lt;&gt;EXAMPLE*"))</f>
        <v>0</v>
      </c>
      <c r="G10" s="6" t="n">
        <f aca="false">IF(E10="","",COUNTIFS('L4 Moderators'!$B$2:$B$300,E10,'L4 Moderators'!$C$2:$C$300,"Suggested",'L4 Moderators'!$A$2:$A$300,"&lt;&gt;EXAMPLE*"))</f>
        <v>0</v>
      </c>
      <c r="H10" s="16"/>
    </row>
    <row r="11" customFormat="false" ht="15" hidden="false" customHeight="false" outlineLevel="0" collapsed="false">
      <c r="A11" s="15" t="s">
        <v>624</v>
      </c>
      <c r="B11" s="6" t="n">
        <f aca="false">IF(A11="","",COUNTIFS('L5 Controls'!$B$2:$B$300,A11,'L5 Controls'!$A$2:$A$300,"&lt;&gt;EXAMPLE*"))</f>
        <v>0</v>
      </c>
      <c r="C11" s="16"/>
      <c r="E11" s="15" t="s">
        <v>625</v>
      </c>
      <c r="F11" s="6" t="n">
        <f aca="false">IF(E11="","",COUNTIFS('L4 Moderators'!$B$2:$B$300,E11,'L4 Moderators'!$C$2:$C$300,"Tested",'L4 Moderators'!$A$2:$A$300,"&lt;&gt;EXAMPLE*"))</f>
        <v>0</v>
      </c>
      <c r="G11" s="6" t="n">
        <f aca="false">IF(E11="","",COUNTIFS('L4 Moderators'!$B$2:$B$300,E11,'L4 Moderators'!$C$2:$C$300,"Suggested",'L4 Moderators'!$A$2:$A$300,"&lt;&gt;EXAMPLE*"))</f>
        <v>0</v>
      </c>
      <c r="H11" s="16"/>
    </row>
    <row r="12" customFormat="false" ht="15" hidden="false" customHeight="false" outlineLevel="0" collapsed="false">
      <c r="A12" s="15" t="s">
        <v>619</v>
      </c>
      <c r="B12" s="6" t="n">
        <f aca="false">IF(A12="","",COUNTIFS('L5 Controls'!$B$2:$B$300,A12,'L5 Controls'!$A$2:$A$300,"&lt;&gt;EXAMPLE*"))</f>
        <v>0</v>
      </c>
      <c r="C12" s="16"/>
      <c r="E12" s="15" t="s">
        <v>626</v>
      </c>
      <c r="F12" s="6" t="n">
        <f aca="false">IF(E12="","",COUNTIFS('L4 Moderators'!$B$2:$B$300,E12,'L4 Moderators'!$C$2:$C$300,"Tested",'L4 Moderators'!$A$2:$A$300,"&lt;&gt;EXAMPLE*"))</f>
        <v>0</v>
      </c>
      <c r="G12" s="6" t="n">
        <f aca="false">IF(E12="","",COUNTIFS('L4 Moderators'!$B$2:$B$300,E12,'L4 Moderators'!$C$2:$C$300,"Suggested",'L4 Moderators'!$A$2:$A$300,"&lt;&gt;EXAMPLE*"))</f>
        <v>0</v>
      </c>
      <c r="H12" s="16"/>
    </row>
    <row r="13" customFormat="false" ht="15" hidden="false" customHeight="false" outlineLevel="0" collapsed="false">
      <c r="A13" s="15" t="s">
        <v>627</v>
      </c>
      <c r="B13" s="6" t="n">
        <f aca="false">IF(A13="","",COUNTIFS('L5 Controls'!$B$2:$B$300,A13,'L5 Controls'!$A$2:$A$300,"&lt;&gt;EXAMPLE*"))</f>
        <v>0</v>
      </c>
      <c r="C13" s="16"/>
      <c r="E13" s="15" t="s">
        <v>628</v>
      </c>
      <c r="F13" s="6" t="n">
        <f aca="false">IF(E13="","",COUNTIFS('L4 Moderators'!$B$2:$B$300,E13,'L4 Moderators'!$C$2:$C$300,"Tested",'L4 Moderators'!$A$2:$A$300,"&lt;&gt;EXAMPLE*"))</f>
        <v>0</v>
      </c>
      <c r="G13" s="6" t="n">
        <f aca="false">IF(E13="","",COUNTIFS('L4 Moderators'!$B$2:$B$300,E13,'L4 Moderators'!$C$2:$C$300,"Suggested",'L4 Moderators'!$A$2:$A$300,"&lt;&gt;EXAMPLE*"))</f>
        <v>0</v>
      </c>
      <c r="H13" s="16"/>
    </row>
    <row r="14" customFormat="false" ht="15" hidden="false" customHeight="false" outlineLevel="0" collapsed="false">
      <c r="A14" s="15" t="s">
        <v>629</v>
      </c>
      <c r="B14" s="6" t="n">
        <f aca="false">IF(A14="","",COUNTIFS('L5 Controls'!$B$2:$B$300,A14,'L5 Controls'!$A$2:$A$300,"&lt;&gt;EXAMPLE*"))</f>
        <v>0</v>
      </c>
      <c r="C14" s="16"/>
      <c r="E14" s="15" t="s">
        <v>630</v>
      </c>
      <c r="F14" s="6" t="n">
        <f aca="false">IF(E14="","",COUNTIFS('L4 Moderators'!$B$2:$B$300,E14,'L4 Moderators'!$C$2:$C$300,"Tested",'L4 Moderators'!$A$2:$A$300,"&lt;&gt;EXAMPLE*"))</f>
        <v>0</v>
      </c>
      <c r="G14" s="6" t="n">
        <f aca="false">IF(E14="","",COUNTIFS('L4 Moderators'!$B$2:$B$300,E14,'L4 Moderators'!$C$2:$C$300,"Suggested",'L4 Moderators'!$A$2:$A$300,"&lt;&gt;EXAMPLE*"))</f>
        <v>0</v>
      </c>
      <c r="H14" s="16"/>
    </row>
    <row r="15" customFormat="false" ht="15" hidden="false" customHeight="false" outlineLevel="0" collapsed="false">
      <c r="A15" s="15" t="s">
        <v>631</v>
      </c>
      <c r="B15" s="6" t="n">
        <f aca="false">IF(A15="","",COUNTIFS('L5 Controls'!$B$2:$B$300,A15,'L5 Controls'!$A$2:$A$300,"&lt;&gt;EXAMPLE*"))</f>
        <v>0</v>
      </c>
      <c r="C15" s="16"/>
      <c r="E15" s="15" t="s">
        <v>622</v>
      </c>
      <c r="F15" s="6" t="n">
        <f aca="false">IF(E15="","",COUNTIFS('L4 Moderators'!$B$2:$B$300,E15,'L4 Moderators'!$C$2:$C$300,"Tested",'L4 Moderators'!$A$2:$A$300,"&lt;&gt;EXAMPLE*"))</f>
        <v>0</v>
      </c>
      <c r="G15" s="6" t="n">
        <f aca="false">IF(E15="","",COUNTIFS('L4 Moderators'!$B$2:$B$300,E15,'L4 Moderators'!$C$2:$C$300,"Suggested",'L4 Moderators'!$A$2:$A$300,"&lt;&gt;EXAMPLE*"))</f>
        <v>0</v>
      </c>
      <c r="H15" s="16"/>
    </row>
    <row r="16" customFormat="false" ht="15" hidden="false" customHeight="false" outlineLevel="0" collapsed="false">
      <c r="A16" s="15" t="s">
        <v>632</v>
      </c>
      <c r="B16" s="6" t="n">
        <f aca="false">IF(A16="","",COUNTIFS('L5 Controls'!$B$2:$B$300,A16,'L5 Controls'!$A$2:$A$300,"&lt;&gt;EXAMPLE*"))</f>
        <v>0</v>
      </c>
      <c r="C16" s="16"/>
      <c r="E16" s="15" t="s">
        <v>633</v>
      </c>
      <c r="F16" s="6" t="n">
        <f aca="false">IF(E16="","",COUNTIFS('L4 Moderators'!$B$2:$B$300,E16,'L4 Moderators'!$C$2:$C$300,"Tested",'L4 Moderators'!$A$2:$A$300,"&lt;&gt;EXAMPLE*"))</f>
        <v>0</v>
      </c>
      <c r="G16" s="6" t="n">
        <f aca="false">IF(E16="","",COUNTIFS('L4 Moderators'!$B$2:$B$300,E16,'L4 Moderators'!$C$2:$C$300,"Suggested",'L4 Moderators'!$A$2:$A$300,"&lt;&gt;EXAMPLE*"))</f>
        <v>0</v>
      </c>
      <c r="H16" s="16"/>
    </row>
    <row r="17" customFormat="false" ht="15" hidden="false" customHeight="false" outlineLevel="0" collapsed="false">
      <c r="A17" s="15" t="s">
        <v>634</v>
      </c>
      <c r="B17" s="6" t="n">
        <f aca="false">IF(A17="","",COUNTIFS('L5 Controls'!$B$2:$B$300,A17,'L5 Controls'!$A$2:$A$300,"&lt;&gt;EXAMPLE*"))</f>
        <v>0</v>
      </c>
      <c r="C17" s="16"/>
      <c r="E17" s="15"/>
      <c r="F17" s="6" t="str">
        <f aca="false">IF(E17="","",COUNTIFS('L4 Moderators'!$B$2:$B$300,E17,'L4 Moderators'!$C$2:$C$300,"Tested",'L4 Moderators'!$A$2:$A$300,"&lt;&gt;EXAMPLE*"))</f>
        <v/>
      </c>
      <c r="G17" s="6" t="str">
        <f aca="false">IF(E17="","",COUNTIFS('L4 Moderators'!$B$2:$B$300,E17,'L4 Moderators'!$C$2:$C$300,"Suggested",'L4 Moderators'!$A$2:$A$300,"&lt;&gt;EXAMPLE*"))</f>
        <v/>
      </c>
      <c r="H17" s="16"/>
    </row>
    <row r="18" customFormat="false" ht="15" hidden="false" customHeight="false" outlineLevel="0" collapsed="false">
      <c r="A18" s="15" t="s">
        <v>635</v>
      </c>
      <c r="B18" s="6" t="n">
        <f aca="false">IF(A18="","",COUNTIFS('L5 Controls'!$B$2:$B$300,A18,'L5 Controls'!$A$2:$A$300,"&lt;&gt;EXAMPLE*"))</f>
        <v>0</v>
      </c>
      <c r="C18" s="16"/>
      <c r="E18" s="15"/>
      <c r="F18" s="6" t="str">
        <f aca="false">IF(E18="","",COUNTIFS('L4 Moderators'!$B$2:$B$300,E18,'L4 Moderators'!$C$2:$C$300,"Tested",'L4 Moderators'!$A$2:$A$300,"&lt;&gt;EXAMPLE*"))</f>
        <v/>
      </c>
      <c r="G18" s="6" t="str">
        <f aca="false">IF(E18="","",COUNTIFS('L4 Moderators'!$B$2:$B$300,E18,'L4 Moderators'!$C$2:$C$300,"Suggested",'L4 Moderators'!$A$2:$A$300,"&lt;&gt;EXAMPLE*"))</f>
        <v/>
      </c>
      <c r="H18" s="16"/>
    </row>
    <row r="19" customFormat="false" ht="15" hidden="false" customHeight="false" outlineLevel="0" collapsed="false">
      <c r="A19" s="15" t="s">
        <v>633</v>
      </c>
      <c r="B19" s="6" t="n">
        <f aca="false">IF(A19="","",COUNTIFS('L5 Controls'!$B$2:$B$300,A19,'L5 Controls'!$A$2:$A$300,"&lt;&gt;EXAMPLE*"))</f>
        <v>0</v>
      </c>
      <c r="C19" s="16"/>
      <c r="E19" s="15"/>
      <c r="F19" s="6" t="str">
        <f aca="false">IF(E19="","",COUNTIFS('L4 Moderators'!$B$2:$B$300,E19,'L4 Moderators'!$C$2:$C$300,"Tested",'L4 Moderators'!$A$2:$A$300,"&lt;&gt;EXAMPLE*"))</f>
        <v/>
      </c>
      <c r="G19" s="6" t="str">
        <f aca="false">IF(E19="","",COUNTIFS('L4 Moderators'!$B$2:$B$300,E19,'L4 Moderators'!$C$2:$C$300,"Suggested",'L4 Moderators'!$A$2:$A$300,"&lt;&gt;EXAMPLE*"))</f>
        <v/>
      </c>
      <c r="H19" s="16"/>
    </row>
    <row r="20" customFormat="false" ht="15" hidden="false" customHeight="false" outlineLevel="0" collapsed="false">
      <c r="A20" s="15" t="s">
        <v>636</v>
      </c>
      <c r="B20" s="6" t="n">
        <f aca="false">IF(A20="","",COUNTIFS('L5 Controls'!$B$2:$B$300,A20,'L5 Controls'!$A$2:$A$300,"&lt;&gt;EXAMPLE*"))</f>
        <v>0</v>
      </c>
      <c r="C20" s="16"/>
      <c r="E20" s="15"/>
      <c r="F20" s="6" t="str">
        <f aca="false">IF(E20="","",COUNTIFS('L4 Moderators'!$B$2:$B$300,E20,'L4 Moderators'!$C$2:$C$300,"Tested",'L4 Moderators'!$A$2:$A$300,"&lt;&gt;EXAMPLE*"))</f>
        <v/>
      </c>
      <c r="G20" s="6" t="str">
        <f aca="false">IF(E20="","",COUNTIFS('L4 Moderators'!$B$2:$B$300,E20,'L4 Moderators'!$C$2:$C$300,"Suggested",'L4 Moderators'!$A$2:$A$300,"&lt;&gt;EXAMPLE*"))</f>
        <v/>
      </c>
      <c r="H20" s="16"/>
    </row>
    <row r="21" customFormat="false" ht="15" hidden="false" customHeight="false" outlineLevel="0" collapsed="false">
      <c r="A21" s="15" t="s">
        <v>637</v>
      </c>
      <c r="B21" s="6" t="n">
        <f aca="false">IF(A21="","",COUNTIFS('L5 Controls'!$B$2:$B$300,A21,'L5 Controls'!$A$2:$A$300,"&lt;&gt;EXAMPLE*"))</f>
        <v>0</v>
      </c>
      <c r="C21" s="16"/>
      <c r="E21" s="15"/>
      <c r="F21" s="6" t="str">
        <f aca="false">IF(E21="","",COUNTIFS('L4 Moderators'!$B$2:$B$300,E21,'L4 Moderators'!$C$2:$C$300,"Tested",'L4 Moderators'!$A$2:$A$300,"&lt;&gt;EXAMPLE*"))</f>
        <v/>
      </c>
      <c r="G21" s="6" t="str">
        <f aca="false">IF(E21="","",COUNTIFS('L4 Moderators'!$B$2:$B$300,E21,'L4 Moderators'!$C$2:$C$300,"Suggested",'L4 Moderators'!$A$2:$A$300,"&lt;&gt;EXAMPLE*"))</f>
        <v/>
      </c>
      <c r="H21" s="16"/>
    </row>
    <row r="22" customFormat="false" ht="15" hidden="false" customHeight="false" outlineLevel="0" collapsed="false">
      <c r="A22" s="15" t="s">
        <v>638</v>
      </c>
      <c r="B22" s="6" t="n">
        <f aca="false">IF(A22="","",COUNTIFS('L5 Controls'!$B$2:$B$300,A22,'L5 Controls'!$A$2:$A$300,"&lt;&gt;EXAMPLE*"))</f>
        <v>0</v>
      </c>
      <c r="C22" s="16"/>
      <c r="E22" s="15"/>
      <c r="F22" s="6" t="str">
        <f aca="false">IF(E22="","",COUNTIFS('L4 Moderators'!$B$2:$B$300,E22,'L4 Moderators'!$C$2:$C$300,"Tested",'L4 Moderators'!$A$2:$A$300,"&lt;&gt;EXAMPLE*"))</f>
        <v/>
      </c>
      <c r="G22" s="6" t="str">
        <f aca="false">IF(E22="","",COUNTIFS('L4 Moderators'!$B$2:$B$300,E22,'L4 Moderators'!$C$2:$C$300,"Suggested",'L4 Moderators'!$A$2:$A$300,"&lt;&gt;EXAMPLE*"))</f>
        <v/>
      </c>
      <c r="H22" s="16"/>
    </row>
    <row r="23" customFormat="false" ht="15" hidden="false" customHeight="false" outlineLevel="0" collapsed="false">
      <c r="A23" s="15" t="s">
        <v>639</v>
      </c>
      <c r="B23" s="6" t="n">
        <f aca="false">IF(A23="","",COUNTIFS('L5 Controls'!$B$2:$B$300,A23,'L5 Controls'!$A$2:$A$300,"&lt;&gt;EXAMPLE*"))</f>
        <v>0</v>
      </c>
      <c r="C23" s="16"/>
      <c r="E23" s="15"/>
      <c r="F23" s="6" t="str">
        <f aca="false">IF(E23="","",COUNTIFS('L4 Moderators'!$B$2:$B$300,E23,'L4 Moderators'!$C$2:$C$300,"Tested",'L4 Moderators'!$A$2:$A$300,"&lt;&gt;EXAMPLE*"))</f>
        <v/>
      </c>
      <c r="G23" s="6" t="str">
        <f aca="false">IF(E23="","",COUNTIFS('L4 Moderators'!$B$2:$B$300,E23,'L4 Moderators'!$C$2:$C$300,"Suggested",'L4 Moderators'!$A$2:$A$300,"&lt;&gt;EXAMPLE*"))</f>
        <v/>
      </c>
      <c r="H23" s="16"/>
    </row>
    <row r="24" customFormat="false" ht="15" hidden="false" customHeight="false" outlineLevel="0" collapsed="false">
      <c r="A24" s="15" t="s">
        <v>640</v>
      </c>
      <c r="B24" s="6" t="n">
        <f aca="false">IF(A24="","",COUNTIFS('L5 Controls'!$B$2:$B$300,A24,'L5 Controls'!$A$2:$A$300,"&lt;&gt;EXAMPLE*"))</f>
        <v>0</v>
      </c>
      <c r="C24" s="16"/>
      <c r="E24" s="15"/>
      <c r="F24" s="6" t="str">
        <f aca="false">IF(E24="","",COUNTIFS('L4 Moderators'!$B$2:$B$300,E24,'L4 Moderators'!$C$2:$C$300,"Tested",'L4 Moderators'!$A$2:$A$300,"&lt;&gt;EXAMPLE*"))</f>
        <v/>
      </c>
      <c r="G24" s="6" t="str">
        <f aca="false">IF(E24="","",COUNTIFS('L4 Moderators'!$B$2:$B$300,E24,'L4 Moderators'!$C$2:$C$300,"Suggested",'L4 Moderators'!$A$2:$A$300,"&lt;&gt;EXAMPLE*"))</f>
        <v/>
      </c>
      <c r="H24" s="16"/>
    </row>
    <row r="25" customFormat="false" ht="15" hidden="false" customHeight="false" outlineLevel="0" collapsed="false">
      <c r="A25" s="15"/>
      <c r="B25" s="6" t="str">
        <f aca="false">IF(A25="","",COUNTIFS('L5 Controls'!$B$2:$B$300,A25,'L5 Controls'!$A$2:$A$300,"&lt;&gt;EXAMPLE*"))</f>
        <v/>
      </c>
      <c r="C25" s="16"/>
      <c r="E25" s="15"/>
      <c r="F25" s="6" t="str">
        <f aca="false">IF(E25="","",COUNTIFS('L4 Moderators'!$B$2:$B$300,E25,'L4 Moderators'!$C$2:$C$300,"Tested",'L4 Moderators'!$A$2:$A$300,"&lt;&gt;EXAMPLE*"))</f>
        <v/>
      </c>
      <c r="G25" s="6" t="str">
        <f aca="false">IF(E25="","",COUNTIFS('L4 Moderators'!$B$2:$B$300,E25,'L4 Moderators'!$C$2:$C$300,"Suggested",'L4 Moderators'!$A$2:$A$300,"&lt;&gt;EXAMPLE*"))</f>
        <v/>
      </c>
      <c r="H25" s="16"/>
    </row>
    <row r="26" customFormat="false" ht="15" hidden="false" customHeight="false" outlineLevel="0" collapsed="false">
      <c r="A26" s="15"/>
      <c r="B26" s="6" t="str">
        <f aca="false">IF(A26="","",COUNTIFS('L5 Controls'!$B$2:$B$300,A26,'L5 Controls'!$A$2:$A$300,"&lt;&gt;EXAMPLE*"))</f>
        <v/>
      </c>
      <c r="C26" s="16"/>
      <c r="E26" s="15"/>
      <c r="F26" s="6" t="str">
        <f aca="false">IF(E26="","",COUNTIFS('L4 Moderators'!$B$2:$B$300,E26,'L4 Moderators'!$C$2:$C$300,"Tested",'L4 Moderators'!$A$2:$A$300,"&lt;&gt;EXAMPLE*"))</f>
        <v/>
      </c>
      <c r="G26" s="6" t="str">
        <f aca="false">IF(E26="","",COUNTIFS('L4 Moderators'!$B$2:$B$300,E26,'L4 Moderators'!$C$2:$C$300,"Suggested",'L4 Moderators'!$A$2:$A$300,"&lt;&gt;EXAMPLE*"))</f>
        <v/>
      </c>
      <c r="H26" s="16"/>
    </row>
    <row r="27" customFormat="false" ht="15" hidden="false" customHeight="false" outlineLevel="0" collapsed="false">
      <c r="A27" s="15"/>
      <c r="B27" s="6" t="str">
        <f aca="false">IF(A27="","",COUNTIFS('L5 Controls'!$B$2:$B$300,A27,'L5 Controls'!$A$2:$A$300,"&lt;&gt;EXAMPLE*"))</f>
        <v/>
      </c>
      <c r="C27" s="16"/>
      <c r="E27" s="15"/>
      <c r="F27" s="6" t="str">
        <f aca="false">IF(E27="","",COUNTIFS('L4 Moderators'!$B$2:$B$300,E27,'L4 Moderators'!$C$2:$C$300,"Tested",'L4 Moderators'!$A$2:$A$300,"&lt;&gt;EXAMPLE*"))</f>
        <v/>
      </c>
      <c r="G27" s="6" t="str">
        <f aca="false">IF(E27="","",COUNTIFS('L4 Moderators'!$B$2:$B$300,E27,'L4 Moderators'!$C$2:$C$300,"Suggested",'L4 Moderators'!$A$2:$A$300,"&lt;&gt;EXAMPLE*"))</f>
        <v/>
      </c>
      <c r="H27" s="16"/>
    </row>
    <row r="28" customFormat="false" ht="15" hidden="false" customHeight="false" outlineLevel="0" collapsed="false">
      <c r="A28" s="15"/>
      <c r="B28" s="6" t="str">
        <f aca="false">IF(A28="","",COUNTIFS('L5 Controls'!$B$2:$B$300,A28,'L5 Controls'!$A$2:$A$300,"&lt;&gt;EXAMPLE*"))</f>
        <v/>
      </c>
      <c r="C28" s="16"/>
      <c r="E28" s="15"/>
      <c r="F28" s="6" t="str">
        <f aca="false">IF(E28="","",COUNTIFS('L4 Moderators'!$B$2:$B$300,E28,'L4 Moderators'!$C$2:$C$300,"Tested",'L4 Moderators'!$A$2:$A$300,"&lt;&gt;EXAMPLE*"))</f>
        <v/>
      </c>
      <c r="G28" s="6" t="str">
        <f aca="false">IF(E28="","",COUNTIFS('L4 Moderators'!$B$2:$B$300,E28,'L4 Moderators'!$C$2:$C$300,"Suggested",'L4 Moderators'!$A$2:$A$300,"&lt;&gt;EXAMPLE*"))</f>
        <v/>
      </c>
      <c r="H28" s="16"/>
    </row>
    <row r="29" customFormat="false" ht="15" hidden="false" customHeight="false" outlineLevel="0" collapsed="false">
      <c r="A29" s="15"/>
      <c r="B29" s="6" t="str">
        <f aca="false">IF(A29="","",COUNTIFS('L5 Controls'!$B$2:$B$300,A29,'L5 Controls'!$A$2:$A$300,"&lt;&gt;EXAMPLE*"))</f>
        <v/>
      </c>
      <c r="C29" s="16"/>
      <c r="E29" s="15"/>
      <c r="F29" s="6" t="str">
        <f aca="false">IF(E29="","",COUNTIFS('L4 Moderators'!$B$2:$B$300,E29,'L4 Moderators'!$C$2:$C$300,"Tested",'L4 Moderators'!$A$2:$A$300,"&lt;&gt;EXAMPLE*"))</f>
        <v/>
      </c>
      <c r="G29" s="6" t="str">
        <f aca="false">IF(E29="","",COUNTIFS('L4 Moderators'!$B$2:$B$300,E29,'L4 Moderators'!$C$2:$C$300,"Suggested",'L4 Moderators'!$A$2:$A$300,"&lt;&gt;EXAMPLE*"))</f>
        <v/>
      </c>
      <c r="H29" s="16"/>
    </row>
    <row r="30" customFormat="false" ht="15" hidden="false" customHeight="false" outlineLevel="0" collapsed="false">
      <c r="A30" s="15"/>
      <c r="B30" s="6" t="str">
        <f aca="false">IF(A30="","",COUNTIFS('L5 Controls'!$B$2:$B$300,A30,'L5 Controls'!$A$2:$A$300,"&lt;&gt;EXAMPLE*"))</f>
        <v/>
      </c>
      <c r="C30" s="16"/>
      <c r="E30" s="15"/>
      <c r="F30" s="6" t="str">
        <f aca="false">IF(E30="","",COUNTIFS('L4 Moderators'!$B$2:$B$300,E30,'L4 Moderators'!$C$2:$C$300,"Tested",'L4 Moderators'!$A$2:$A$300,"&lt;&gt;EXAMPLE*"))</f>
        <v/>
      </c>
      <c r="G30" s="6" t="str">
        <f aca="false">IF(E30="","",COUNTIFS('L4 Moderators'!$B$2:$B$300,E30,'L4 Moderators'!$C$2:$C$300,"Suggested",'L4 Moderators'!$A$2:$A$300,"&lt;&gt;EXAMPLE*"))</f>
        <v/>
      </c>
      <c r="H30" s="16"/>
    </row>
    <row r="31" customFormat="false" ht="15" hidden="false" customHeight="false" outlineLevel="0" collapsed="false">
      <c r="A31" s="15"/>
      <c r="B31" s="6" t="str">
        <f aca="false">IF(A31="","",COUNTIFS('L5 Controls'!$B$2:$B$300,A31,'L5 Controls'!$A$2:$A$300,"&lt;&gt;EXAMPLE*"))</f>
        <v/>
      </c>
      <c r="C31" s="16"/>
      <c r="E31" s="15"/>
      <c r="F31" s="6" t="str">
        <f aca="false">IF(E31="","",COUNTIFS('L4 Moderators'!$B$2:$B$300,E31,'L4 Moderators'!$C$2:$C$300,"Tested",'L4 Moderators'!$A$2:$A$300,"&lt;&gt;EXAMPLE*"))</f>
        <v/>
      </c>
      <c r="G31" s="6" t="str">
        <f aca="false">IF(E31="","",COUNTIFS('L4 Moderators'!$B$2:$B$300,E31,'L4 Moderators'!$C$2:$C$300,"Suggested",'L4 Moderators'!$A$2:$A$300,"&lt;&gt;EXAMPLE*"))</f>
        <v/>
      </c>
      <c r="H31" s="16"/>
    </row>
    <row r="32" customFormat="false" ht="15" hidden="false" customHeight="false" outlineLevel="0" collapsed="false">
      <c r="A32" s="15"/>
      <c r="B32" s="6" t="str">
        <f aca="false">IF(A32="","",COUNTIFS('L5 Controls'!$B$2:$B$300,A32,'L5 Controls'!$A$2:$A$300,"&lt;&gt;EXAMPLE*"))</f>
        <v/>
      </c>
      <c r="C32" s="16"/>
      <c r="E32" s="15"/>
      <c r="F32" s="6" t="str">
        <f aca="false">IF(E32="","",COUNTIFS('L4 Moderators'!$B$2:$B$300,E32,'L4 Moderators'!$C$2:$C$300,"Tested",'L4 Moderators'!$A$2:$A$300,"&lt;&gt;EXAMPLE*"))</f>
        <v/>
      </c>
      <c r="G32" s="6" t="str">
        <f aca="false">IF(E32="","",COUNTIFS('L4 Moderators'!$B$2:$B$300,E32,'L4 Moderators'!$C$2:$C$300,"Suggested",'L4 Moderators'!$A$2:$A$300,"&lt;&gt;EXAMPLE*"))</f>
        <v/>
      </c>
      <c r="H32" s="16"/>
    </row>
    <row r="33" customFormat="false" ht="15" hidden="false" customHeight="false" outlineLevel="0" collapsed="false">
      <c r="A33" s="15"/>
      <c r="B33" s="6" t="str">
        <f aca="false">IF(A33="","",COUNTIFS('L5 Controls'!$B$2:$B$300,A33,'L5 Controls'!$A$2:$A$300,"&lt;&gt;EXAMPLE*"))</f>
        <v/>
      </c>
      <c r="C33" s="16"/>
      <c r="E33" s="15"/>
      <c r="F33" s="6" t="str">
        <f aca="false">IF(E33="","",COUNTIFS('L4 Moderators'!$B$2:$B$300,E33,'L4 Moderators'!$C$2:$C$300,"Tested",'L4 Moderators'!$A$2:$A$300,"&lt;&gt;EXAMPLE*"))</f>
        <v/>
      </c>
      <c r="G33" s="6" t="str">
        <f aca="false">IF(E33="","",COUNTIFS('L4 Moderators'!$B$2:$B$300,E33,'L4 Moderators'!$C$2:$C$300,"Suggested",'L4 Moderators'!$A$2:$A$300,"&lt;&gt;EXAMPLE*"))</f>
        <v/>
      </c>
      <c r="H33" s="16"/>
    </row>
    <row r="34" customFormat="false" ht="15" hidden="false" customHeight="false" outlineLevel="0" collapsed="false">
      <c r="A34" s="15"/>
      <c r="B34" s="6" t="str">
        <f aca="false">IF(A34="","",COUNTIFS('L5 Controls'!$B$2:$B$300,A34,'L5 Controls'!$A$2:$A$300,"&lt;&gt;EXAMPLE*"))</f>
        <v/>
      </c>
      <c r="C34" s="16"/>
      <c r="E34" s="15"/>
      <c r="F34" s="6" t="str">
        <f aca="false">IF(E34="","",COUNTIFS('L4 Moderators'!$B$2:$B$300,E34,'L4 Moderators'!$C$2:$C$300,"Tested",'L4 Moderators'!$A$2:$A$300,"&lt;&gt;EXAMPLE*"))</f>
        <v/>
      </c>
      <c r="G34" s="6" t="str">
        <f aca="false">IF(E34="","",COUNTIFS('L4 Moderators'!$B$2:$B$300,E34,'L4 Moderators'!$C$2:$C$300,"Suggested",'L4 Moderators'!$A$2:$A$300,"&lt;&gt;EXAMPLE*"))</f>
        <v/>
      </c>
      <c r="H34" s="16"/>
    </row>
    <row r="35" customFormat="false" ht="15" hidden="false" customHeight="false" outlineLevel="0" collapsed="false">
      <c r="A35" s="15"/>
      <c r="B35" s="6" t="str">
        <f aca="false">IF(A35="","",COUNTIFS('L5 Controls'!$B$2:$B$300,A35,'L5 Controls'!$A$2:$A$300,"&lt;&gt;EXAMPLE*"))</f>
        <v/>
      </c>
      <c r="C35" s="16"/>
      <c r="E35" s="15"/>
      <c r="F35" s="6" t="str">
        <f aca="false">IF(E35="","",COUNTIFS('L4 Moderators'!$B$2:$B$300,E35,'L4 Moderators'!$C$2:$C$300,"Tested",'L4 Moderators'!$A$2:$A$300,"&lt;&gt;EXAMPLE*"))</f>
        <v/>
      </c>
      <c r="G35" s="6" t="str">
        <f aca="false">IF(E35="","",COUNTIFS('L4 Moderators'!$B$2:$B$300,E35,'L4 Moderators'!$C$2:$C$300,"Suggested",'L4 Moderators'!$A$2:$A$300,"&lt;&gt;EXAMPLE*"))</f>
        <v/>
      </c>
      <c r="H35" s="16"/>
    </row>
    <row r="36" customFormat="false" ht="15" hidden="false" customHeight="false" outlineLevel="0" collapsed="false">
      <c r="A36" s="15"/>
      <c r="B36" s="6" t="str">
        <f aca="false">IF(A36="","",COUNTIFS('L5 Controls'!$B$2:$B$300,A36,'L5 Controls'!$A$2:$A$300,"&lt;&gt;EXAMPLE*"))</f>
        <v/>
      </c>
      <c r="C36" s="16"/>
      <c r="E36" s="15"/>
      <c r="F36" s="6" t="str">
        <f aca="false">IF(E36="","",COUNTIFS('L4 Moderators'!$B$2:$B$300,E36,'L4 Moderators'!$C$2:$C$300,"Tested",'L4 Moderators'!$A$2:$A$300,"&lt;&gt;EXAMPLE*"))</f>
        <v/>
      </c>
      <c r="G36" s="6" t="str">
        <f aca="false">IF(E36="","",COUNTIFS('L4 Moderators'!$B$2:$B$300,E36,'L4 Moderators'!$C$2:$C$300,"Suggested",'L4 Moderators'!$A$2:$A$300,"&lt;&gt;EXAMPLE*"))</f>
        <v/>
      </c>
      <c r="H36" s="16"/>
    </row>
    <row r="37" customFormat="false" ht="15" hidden="false" customHeight="false" outlineLevel="0" collapsed="false">
      <c r="A37" s="15"/>
      <c r="B37" s="6" t="str">
        <f aca="false">IF(A37="","",COUNTIFS('L5 Controls'!$B$2:$B$300,A37,'L5 Controls'!$A$2:$A$300,"&lt;&gt;EXAMPLE*"))</f>
        <v/>
      </c>
      <c r="C37" s="16"/>
      <c r="E37" s="15"/>
      <c r="F37" s="6" t="str">
        <f aca="false">IF(E37="","",COUNTIFS('L4 Moderators'!$B$2:$B$300,E37,'L4 Moderators'!$C$2:$C$300,"Tested",'L4 Moderators'!$A$2:$A$300,"&lt;&gt;EXAMPLE*"))</f>
        <v/>
      </c>
      <c r="G37" s="6" t="str">
        <f aca="false">IF(E37="","",COUNTIFS('L4 Moderators'!$B$2:$B$300,E37,'L4 Moderators'!$C$2:$C$300,"Suggested",'L4 Moderators'!$A$2:$A$300,"&lt;&gt;EXAMPLE*"))</f>
        <v/>
      </c>
      <c r="H37" s="16"/>
    </row>
    <row r="38" customFormat="false" ht="15" hidden="false" customHeight="false" outlineLevel="0" collapsed="false">
      <c r="A38" s="15"/>
      <c r="B38" s="6" t="str">
        <f aca="false">IF(A38="","",COUNTIFS('L5 Controls'!$B$2:$B$300,A38,'L5 Controls'!$A$2:$A$300,"&lt;&gt;EXAMPLE*"))</f>
        <v/>
      </c>
      <c r="C38" s="16"/>
      <c r="E38" s="15"/>
      <c r="F38" s="6" t="str">
        <f aca="false">IF(E38="","",COUNTIFS('L4 Moderators'!$B$2:$B$300,E38,'L4 Moderators'!$C$2:$C$300,"Tested",'L4 Moderators'!$A$2:$A$300,"&lt;&gt;EXAMPLE*"))</f>
        <v/>
      </c>
      <c r="G38" s="6" t="str">
        <f aca="false">IF(E38="","",COUNTIFS('L4 Moderators'!$B$2:$B$300,E38,'L4 Moderators'!$C$2:$C$300,"Suggested",'L4 Moderators'!$A$2:$A$300,"&lt;&gt;EXAMPLE*"))</f>
        <v/>
      </c>
      <c r="H38" s="16"/>
    </row>
    <row r="39" customFormat="false" ht="15" hidden="false" customHeight="false" outlineLevel="0" collapsed="false">
      <c r="A39" s="15"/>
      <c r="B39" s="6" t="str">
        <f aca="false">IF(A39="","",COUNTIFS('L5 Controls'!$B$2:$B$300,A39,'L5 Controls'!$A$2:$A$300,"&lt;&gt;EXAMPLE*"))</f>
        <v/>
      </c>
      <c r="C39" s="16"/>
      <c r="E39" s="15"/>
      <c r="F39" s="6" t="str">
        <f aca="false">IF(E39="","",COUNTIFS('L4 Moderators'!$B$2:$B$300,E39,'L4 Moderators'!$C$2:$C$300,"Tested",'L4 Moderators'!$A$2:$A$300,"&lt;&gt;EXAMPLE*"))</f>
        <v/>
      </c>
      <c r="G39" s="6" t="str">
        <f aca="false">IF(E39="","",COUNTIFS('L4 Moderators'!$B$2:$B$300,E39,'L4 Moderators'!$C$2:$C$300,"Suggested",'L4 Moderators'!$A$2:$A$300,"&lt;&gt;EXAMPLE*"))</f>
        <v/>
      </c>
      <c r="H39" s="16"/>
    </row>
    <row r="40" customFormat="false" ht="15" hidden="false" customHeight="false" outlineLevel="0" collapsed="false">
      <c r="A40" s="15"/>
      <c r="B40" s="6" t="str">
        <f aca="false">IF(A40="","",COUNTIFS('L5 Controls'!$B$2:$B$300,A40,'L5 Controls'!$A$2:$A$300,"&lt;&gt;EXAMPLE*"))</f>
        <v/>
      </c>
      <c r="C40" s="16"/>
      <c r="E40" s="15"/>
      <c r="F40" s="6" t="str">
        <f aca="false">IF(E40="","",COUNTIFS('L4 Moderators'!$B$2:$B$300,E40,'L4 Moderators'!$C$2:$C$300,"Tested",'L4 Moderators'!$A$2:$A$300,"&lt;&gt;EXAMPLE*"))</f>
        <v/>
      </c>
      <c r="G40" s="6" t="str">
        <f aca="false">IF(E40="","",COUNTIFS('L4 Moderators'!$B$2:$B$300,E40,'L4 Moderators'!$C$2:$C$300,"Suggested",'L4 Moderators'!$A$2:$A$300,"&lt;&gt;EXAMPLE*"))</f>
        <v/>
      </c>
      <c r="H40" s="16"/>
    </row>
    <row r="41" customFormat="false" ht="15" hidden="false" customHeight="false" outlineLevel="0" collapsed="false">
      <c r="A41" s="15"/>
      <c r="B41" s="6" t="str">
        <f aca="false">IF(A41="","",COUNTIFS('L5 Controls'!$B$2:$B$300,A41,'L5 Controls'!$A$2:$A$300,"&lt;&gt;EXAMPLE*"))</f>
        <v/>
      </c>
      <c r="C41" s="16"/>
      <c r="E41" s="15"/>
      <c r="F41" s="6" t="str">
        <f aca="false">IF(E41="","",COUNTIFS('L4 Moderators'!$B$2:$B$300,E41,'L4 Moderators'!$C$2:$C$300,"Tested",'L4 Moderators'!$A$2:$A$300,"&lt;&gt;EXAMPLE*"))</f>
        <v/>
      </c>
      <c r="G41" s="6" t="str">
        <f aca="false">IF(E41="","",COUNTIFS('L4 Moderators'!$B$2:$B$300,E41,'L4 Moderators'!$C$2:$C$300,"Suggested",'L4 Moderators'!$A$2:$A$300,"&lt;&gt;EXAMPLE*"))</f>
        <v/>
      </c>
      <c r="H41" s="16"/>
    </row>
    <row r="42" customFormat="false" ht="15" hidden="false" customHeight="false" outlineLevel="0" collapsed="false">
      <c r="A42" s="15"/>
      <c r="B42" s="6" t="str">
        <f aca="false">IF(A42="","",COUNTIFS('L5 Controls'!$B$2:$B$300,A42,'L5 Controls'!$A$2:$A$300,"&lt;&gt;EXAMPLE*"))</f>
        <v/>
      </c>
      <c r="C42" s="16"/>
      <c r="E42" s="15"/>
      <c r="F42" s="6" t="str">
        <f aca="false">IF(E42="","",COUNTIFS('L4 Moderators'!$B$2:$B$300,E42,'L4 Moderators'!$C$2:$C$300,"Tested",'L4 Moderators'!$A$2:$A$300,"&lt;&gt;EXAMPLE*"))</f>
        <v/>
      </c>
      <c r="G42" s="6" t="str">
        <f aca="false">IF(E42="","",COUNTIFS('L4 Moderators'!$B$2:$B$300,E42,'L4 Moderators'!$C$2:$C$300,"Suggested",'L4 Moderators'!$A$2:$A$300,"&lt;&gt;EXAMPLE*"))</f>
        <v/>
      </c>
      <c r="H42" s="16"/>
    </row>
    <row r="43" customFormat="false" ht="15" hidden="false" customHeight="false" outlineLevel="0" collapsed="false">
      <c r="A43" s="15"/>
      <c r="B43" s="6" t="str">
        <f aca="false">IF(A43="","",COUNTIFS('L5 Controls'!$B$2:$B$300,A43,'L5 Controls'!$A$2:$A$300,"&lt;&gt;EXAMPLE*"))</f>
        <v/>
      </c>
      <c r="C43" s="16"/>
      <c r="E43" s="15"/>
      <c r="F43" s="6" t="str">
        <f aca="false">IF(E43="","",COUNTIFS('L4 Moderators'!$B$2:$B$300,E43,'L4 Moderators'!$C$2:$C$300,"Tested",'L4 Moderators'!$A$2:$A$300,"&lt;&gt;EXAMPLE*"))</f>
        <v/>
      </c>
      <c r="G43" s="6" t="str">
        <f aca="false">IF(E43="","",COUNTIFS('L4 Moderators'!$B$2:$B$300,E43,'L4 Moderators'!$C$2:$C$300,"Suggested",'L4 Moderators'!$A$2:$A$300,"&lt;&gt;EXAMPLE*"))</f>
        <v/>
      </c>
      <c r="H43" s="16"/>
    </row>
    <row r="44" customFormat="false" ht="15" hidden="false" customHeight="false" outlineLevel="0" collapsed="false">
      <c r="A44" s="15"/>
      <c r="B44" s="6" t="str">
        <f aca="false">IF(A44="","",COUNTIFS('L5 Controls'!$B$2:$B$300,A44,'L5 Controls'!$A$2:$A$300,"&lt;&gt;EXAMPLE*"))</f>
        <v/>
      </c>
      <c r="C44" s="16"/>
      <c r="E44" s="15"/>
      <c r="F44" s="6" t="str">
        <f aca="false">IF(E44="","",COUNTIFS('L4 Moderators'!$B$2:$B$300,E44,'L4 Moderators'!$C$2:$C$300,"Tested",'L4 Moderators'!$A$2:$A$300,"&lt;&gt;EXAMPLE*"))</f>
        <v/>
      </c>
      <c r="G44" s="6" t="str">
        <f aca="false">IF(E44="","",COUNTIFS('L4 Moderators'!$B$2:$B$300,E44,'L4 Moderators'!$C$2:$C$300,"Suggested",'L4 Moderators'!$A$2:$A$300,"&lt;&gt;EXAMPLE*"))</f>
        <v/>
      </c>
      <c r="H44" s="16"/>
    </row>
    <row r="45" customFormat="false" ht="15" hidden="false" customHeight="false" outlineLevel="0" collapsed="false">
      <c r="A45" s="15"/>
      <c r="B45" s="6" t="str">
        <f aca="false">IF(A45="","",COUNTIFS('L5 Controls'!$B$2:$B$300,A45,'L5 Controls'!$A$2:$A$300,"&lt;&gt;EXAMPLE*"))</f>
        <v/>
      </c>
      <c r="C45" s="16"/>
      <c r="E45" s="15"/>
      <c r="F45" s="6" t="str">
        <f aca="false">IF(E45="","",COUNTIFS('L4 Moderators'!$B$2:$B$300,E45,'L4 Moderators'!$C$2:$C$300,"Tested",'L4 Moderators'!$A$2:$A$300,"&lt;&gt;EXAMPLE*"))</f>
        <v/>
      </c>
      <c r="G45" s="6" t="str">
        <f aca="false">IF(E45="","",COUNTIFS('L4 Moderators'!$B$2:$B$300,E45,'L4 Moderators'!$C$2:$C$300,"Suggested",'L4 Moderators'!$A$2:$A$300,"&lt;&gt;EXAMPLE*"))</f>
        <v/>
      </c>
      <c r="H45" s="16"/>
    </row>
    <row r="46" customFormat="false" ht="15" hidden="false" customHeight="false" outlineLevel="0" collapsed="false">
      <c r="A46" s="15"/>
      <c r="B46" s="6" t="str">
        <f aca="false">IF(A46="","",COUNTIFS('L5 Controls'!$B$2:$B$300,A46,'L5 Controls'!$A$2:$A$300,"&lt;&gt;EXAMPLE*"))</f>
        <v/>
      </c>
      <c r="C46" s="16"/>
      <c r="E46" s="15"/>
      <c r="F46" s="6" t="str">
        <f aca="false">IF(E46="","",COUNTIFS('L4 Moderators'!$B$2:$B$300,E46,'L4 Moderators'!$C$2:$C$300,"Tested",'L4 Moderators'!$A$2:$A$300,"&lt;&gt;EXAMPLE*"))</f>
        <v/>
      </c>
      <c r="G46" s="6" t="str">
        <f aca="false">IF(E46="","",COUNTIFS('L4 Moderators'!$B$2:$B$300,E46,'L4 Moderators'!$C$2:$C$300,"Suggested",'L4 Moderators'!$A$2:$A$300,"&lt;&gt;EXAMPLE*"))</f>
        <v/>
      </c>
      <c r="H46" s="16"/>
    </row>
    <row r="47" customFormat="false" ht="15" hidden="false" customHeight="false" outlineLevel="0" collapsed="false">
      <c r="A47" s="15"/>
      <c r="B47" s="6" t="str">
        <f aca="false">IF(A47="","",COUNTIFS('L5 Controls'!$B$2:$B$300,A47,'L5 Controls'!$A$2:$A$300,"&lt;&gt;EXAMPLE*"))</f>
        <v/>
      </c>
      <c r="C47" s="16"/>
      <c r="E47" s="15"/>
      <c r="F47" s="6" t="str">
        <f aca="false">IF(E47="","",COUNTIFS('L4 Moderators'!$B$2:$B$300,E47,'L4 Moderators'!$C$2:$C$300,"Tested",'L4 Moderators'!$A$2:$A$300,"&lt;&gt;EXAMPLE*"))</f>
        <v/>
      </c>
      <c r="G47" s="6" t="str">
        <f aca="false">IF(E47="","",COUNTIFS('L4 Moderators'!$B$2:$B$300,E47,'L4 Moderators'!$C$2:$C$300,"Suggested",'L4 Moderators'!$A$2:$A$300,"&lt;&gt;EXAMPLE*"))</f>
        <v/>
      </c>
      <c r="H47" s="16"/>
    </row>
    <row r="48" customFormat="false" ht="15" hidden="false" customHeight="false" outlineLevel="0" collapsed="false">
      <c r="A48" s="15"/>
      <c r="B48" s="6" t="str">
        <f aca="false">IF(A48="","",COUNTIFS('L5 Controls'!$B$2:$B$300,A48,'L5 Controls'!$A$2:$A$300,"&lt;&gt;EXAMPLE*"))</f>
        <v/>
      </c>
      <c r="C48" s="16"/>
      <c r="E48" s="15"/>
      <c r="F48" s="6" t="str">
        <f aca="false">IF(E48="","",COUNTIFS('L4 Moderators'!$B$2:$B$300,E48,'L4 Moderators'!$C$2:$C$300,"Tested",'L4 Moderators'!$A$2:$A$300,"&lt;&gt;EXAMPLE*"))</f>
        <v/>
      </c>
      <c r="G48" s="6" t="str">
        <f aca="false">IF(E48="","",COUNTIFS('L4 Moderators'!$B$2:$B$300,E48,'L4 Moderators'!$C$2:$C$300,"Suggested",'L4 Moderators'!$A$2:$A$300,"&lt;&gt;EXAMPLE*"))</f>
        <v/>
      </c>
      <c r="H48" s="16"/>
    </row>
    <row r="49" customFormat="false" ht="15" hidden="false" customHeight="false" outlineLevel="0" collapsed="false">
      <c r="A49" s="15"/>
      <c r="B49" s="6" t="str">
        <f aca="false">IF(A49="","",COUNTIFS('L5 Controls'!$B$2:$B$300,A49,'L5 Controls'!$A$2:$A$300,"&lt;&gt;EXAMPLE*"))</f>
        <v/>
      </c>
      <c r="C49" s="16"/>
      <c r="E49" s="15"/>
      <c r="F49" s="6" t="str">
        <f aca="false">IF(E49="","",COUNTIFS('L4 Moderators'!$B$2:$B$300,E49,'L4 Moderators'!$C$2:$C$300,"Tested",'L4 Moderators'!$A$2:$A$300,"&lt;&gt;EXAMPLE*"))</f>
        <v/>
      </c>
      <c r="G49" s="6" t="str">
        <f aca="false">IF(E49="","",COUNTIFS('L4 Moderators'!$B$2:$B$300,E49,'L4 Moderators'!$C$2:$C$300,"Suggested",'L4 Moderators'!$A$2:$A$300,"&lt;&gt;EXAMPLE*"))</f>
        <v/>
      </c>
      <c r="H49" s="16"/>
    </row>
    <row r="50" customFormat="false" ht="15" hidden="false" customHeight="false" outlineLevel="0" collapsed="false">
      <c r="A50" s="15"/>
      <c r="B50" s="6" t="str">
        <f aca="false">IF(A50="","",COUNTIFS('L5 Controls'!$B$2:$B$300,A50,'L5 Controls'!$A$2:$A$300,"&lt;&gt;EXAMPLE*"))</f>
        <v/>
      </c>
      <c r="C50" s="16"/>
      <c r="E50" s="15"/>
      <c r="F50" s="6" t="str">
        <f aca="false">IF(E50="","",COUNTIFS('L4 Moderators'!$B$2:$B$300,E50,'L4 Moderators'!$C$2:$C$300,"Tested",'L4 Moderators'!$A$2:$A$300,"&lt;&gt;EXAMPLE*"))</f>
        <v/>
      </c>
      <c r="G50" s="6" t="str">
        <f aca="false">IF(E50="","",COUNTIFS('L4 Moderators'!$B$2:$B$300,E50,'L4 Moderators'!$C$2:$C$300,"Suggested",'L4 Moderators'!$A$2:$A$300,"&lt;&gt;EXAMPLE*"))</f>
        <v/>
      </c>
      <c r="H50" s="16"/>
    </row>
    <row r="51" customFormat="false" ht="15" hidden="false" customHeight="false" outlineLevel="0" collapsed="false">
      <c r="A51" s="15"/>
      <c r="B51" s="6" t="str">
        <f aca="false">IF(A51="","",COUNTIFS('L5 Controls'!$B$2:$B$300,A51,'L5 Controls'!$A$2:$A$300,"&lt;&gt;EXAMPLE*"))</f>
        <v/>
      </c>
      <c r="C51" s="16"/>
      <c r="E51" s="15"/>
      <c r="F51" s="6" t="str">
        <f aca="false">IF(E51="","",COUNTIFS('L4 Moderators'!$B$2:$B$300,E51,'L4 Moderators'!$C$2:$C$300,"Tested",'L4 Moderators'!$A$2:$A$300,"&lt;&gt;EXAMPLE*"))</f>
        <v/>
      </c>
      <c r="G51" s="6" t="str">
        <f aca="false">IF(E51="","",COUNTIFS('L4 Moderators'!$B$2:$B$300,E51,'L4 Moderators'!$C$2:$C$300,"Suggested",'L4 Moderators'!$A$2:$A$300,"&lt;&gt;EXAMPLE*"))</f>
        <v/>
      </c>
      <c r="H51" s="16"/>
    </row>
    <row r="52" customFormat="false" ht="15" hidden="false" customHeight="false" outlineLevel="0" collapsed="false">
      <c r="A52" s="15"/>
      <c r="B52" s="6" t="str">
        <f aca="false">IF(A52="","",COUNTIFS('L5 Controls'!$B$2:$B$300,A52,'L5 Controls'!$A$2:$A$300,"&lt;&gt;EXAMPLE*"))</f>
        <v/>
      </c>
      <c r="C52" s="16"/>
      <c r="E52" s="15"/>
      <c r="F52" s="6" t="str">
        <f aca="false">IF(E52="","",COUNTIFS('L4 Moderators'!$B$2:$B$300,E52,'L4 Moderators'!$C$2:$C$300,"Tested",'L4 Moderators'!$A$2:$A$300,"&lt;&gt;EXAMPLE*"))</f>
        <v/>
      </c>
      <c r="G52" s="6" t="str">
        <f aca="false">IF(E52="","",COUNTIFS('L4 Moderators'!$B$2:$B$300,E52,'L4 Moderators'!$C$2:$C$300,"Suggested",'L4 Moderators'!$A$2:$A$300,"&lt;&gt;EXAMPLE*"))</f>
        <v/>
      </c>
      <c r="H52" s="16"/>
    </row>
    <row r="53" customFormat="false" ht="15" hidden="false" customHeight="false" outlineLevel="0" collapsed="false">
      <c r="A53" s="15"/>
      <c r="B53" s="6" t="str">
        <f aca="false">IF(A53="","",COUNTIFS('L5 Controls'!$B$2:$B$300,A53,'L5 Controls'!$A$2:$A$300,"&lt;&gt;EXAMPLE*"))</f>
        <v/>
      </c>
      <c r="C53" s="16"/>
      <c r="E53" s="15"/>
      <c r="F53" s="6" t="str">
        <f aca="false">IF(E53="","",COUNTIFS('L4 Moderators'!$B$2:$B$300,E53,'L4 Moderators'!$C$2:$C$300,"Tested",'L4 Moderators'!$A$2:$A$300,"&lt;&gt;EXAMPLE*"))</f>
        <v/>
      </c>
      <c r="G53" s="6" t="str">
        <f aca="false">IF(E53="","",COUNTIFS('L4 Moderators'!$B$2:$B$300,E53,'L4 Moderators'!$C$2:$C$300,"Suggested",'L4 Moderators'!$A$2:$A$300,"&lt;&gt;EXAMPLE*"))</f>
        <v/>
      </c>
      <c r="H53" s="16"/>
    </row>
    <row r="54" customFormat="false" ht="15" hidden="false" customHeight="false" outlineLevel="0" collapsed="false">
      <c r="A54" s="15"/>
      <c r="B54" s="6" t="str">
        <f aca="false">IF(A54="","",COUNTIFS('L5 Controls'!$B$2:$B$300,A54,'L5 Controls'!$A$2:$A$300,"&lt;&gt;EXAMPLE*"))</f>
        <v/>
      </c>
      <c r="C54" s="16"/>
      <c r="E54" s="15"/>
      <c r="F54" s="6" t="str">
        <f aca="false">IF(E54="","",COUNTIFS('L4 Moderators'!$B$2:$B$300,E54,'L4 Moderators'!$C$2:$C$300,"Tested",'L4 Moderators'!$A$2:$A$300,"&lt;&gt;EXAMPLE*"))</f>
        <v/>
      </c>
      <c r="G54" s="6" t="str">
        <f aca="false">IF(E54="","",COUNTIFS('L4 Moderators'!$B$2:$B$300,E54,'L4 Moderators'!$C$2:$C$300,"Suggested",'L4 Moderators'!$A$2:$A$300,"&lt;&gt;EXAMPLE*"))</f>
        <v/>
      </c>
      <c r="H54" s="16"/>
    </row>
    <row r="55" customFormat="false" ht="15" hidden="false" customHeight="false" outlineLevel="0" collapsed="false">
      <c r="A55" s="15"/>
      <c r="B55" s="6" t="str">
        <f aca="false">IF(A55="","",COUNTIFS('L5 Controls'!$B$2:$B$300,A55,'L5 Controls'!$A$2:$A$300,"&lt;&gt;EXAMPLE*"))</f>
        <v/>
      </c>
      <c r="C55" s="16"/>
      <c r="E55" s="15"/>
      <c r="F55" s="6" t="str">
        <f aca="false">IF(E55="","",COUNTIFS('L4 Moderators'!$B$2:$B$300,E55,'L4 Moderators'!$C$2:$C$300,"Tested",'L4 Moderators'!$A$2:$A$300,"&lt;&gt;EXAMPLE*"))</f>
        <v/>
      </c>
      <c r="G55" s="6" t="str">
        <f aca="false">IF(E55="","",COUNTIFS('L4 Moderators'!$B$2:$B$300,E55,'L4 Moderators'!$C$2:$C$300,"Suggested",'L4 Moderators'!$A$2:$A$300,"&lt;&gt;EXAMPLE*"))</f>
        <v/>
      </c>
      <c r="H55" s="16"/>
    </row>
    <row r="56" customFormat="false" ht="15" hidden="false" customHeight="false" outlineLevel="0" collapsed="false">
      <c r="A56" s="15"/>
      <c r="B56" s="6" t="str">
        <f aca="false">IF(A56="","",COUNTIFS('L5 Controls'!$B$2:$B$300,A56,'L5 Controls'!$A$2:$A$300,"&lt;&gt;EXAMPLE*"))</f>
        <v/>
      </c>
      <c r="C56" s="16"/>
      <c r="E56" s="15"/>
      <c r="F56" s="6" t="str">
        <f aca="false">IF(E56="","",COUNTIFS('L4 Moderators'!$B$2:$B$300,E56,'L4 Moderators'!$C$2:$C$300,"Tested",'L4 Moderators'!$A$2:$A$300,"&lt;&gt;EXAMPLE*"))</f>
        <v/>
      </c>
      <c r="G56" s="6" t="str">
        <f aca="false">IF(E56="","",COUNTIFS('L4 Moderators'!$B$2:$B$300,E56,'L4 Moderators'!$C$2:$C$300,"Suggested",'L4 Moderators'!$A$2:$A$300,"&lt;&gt;EXAMPLE*"))</f>
        <v/>
      </c>
      <c r="H56" s="16"/>
    </row>
    <row r="57" customFormat="false" ht="15" hidden="false" customHeight="false" outlineLevel="0" collapsed="false">
      <c r="A57" s="15"/>
      <c r="B57" s="6" t="str">
        <f aca="false">IF(A57="","",COUNTIFS('L5 Controls'!$B$2:$B$300,A57,'L5 Controls'!$A$2:$A$300,"&lt;&gt;EXAMPLE*"))</f>
        <v/>
      </c>
      <c r="C57" s="16"/>
      <c r="E57" s="15"/>
      <c r="F57" s="6" t="str">
        <f aca="false">IF(E57="","",COUNTIFS('L4 Moderators'!$B$2:$B$300,E57,'L4 Moderators'!$C$2:$C$300,"Tested",'L4 Moderators'!$A$2:$A$300,"&lt;&gt;EXAMPLE*"))</f>
        <v/>
      </c>
      <c r="G57" s="6" t="str">
        <f aca="false">IF(E57="","",COUNTIFS('L4 Moderators'!$B$2:$B$300,E57,'L4 Moderators'!$C$2:$C$300,"Suggested",'L4 Moderators'!$A$2:$A$300,"&lt;&gt;EXAMPLE*"))</f>
        <v/>
      </c>
      <c r="H57" s="16"/>
    </row>
    <row r="58" customFormat="false" ht="15" hidden="false" customHeight="false" outlineLevel="0" collapsed="false">
      <c r="A58" s="15"/>
      <c r="B58" s="6" t="str">
        <f aca="false">IF(A58="","",COUNTIFS('L5 Controls'!$B$2:$B$300,A58,'L5 Controls'!$A$2:$A$300,"&lt;&gt;EXAMPLE*"))</f>
        <v/>
      </c>
      <c r="C58" s="16"/>
      <c r="E58" s="15"/>
      <c r="F58" s="6" t="str">
        <f aca="false">IF(E58="","",COUNTIFS('L4 Moderators'!$B$2:$B$300,E58,'L4 Moderators'!$C$2:$C$300,"Tested",'L4 Moderators'!$A$2:$A$300,"&lt;&gt;EXAMPLE*"))</f>
        <v/>
      </c>
      <c r="G58" s="6" t="str">
        <f aca="false">IF(E58="","",COUNTIFS('L4 Moderators'!$B$2:$B$300,E58,'L4 Moderators'!$C$2:$C$300,"Suggested",'L4 Moderators'!$A$2:$A$300,"&lt;&gt;EXAMPLE*"))</f>
        <v/>
      </c>
      <c r="H58" s="16"/>
    </row>
    <row r="59" customFormat="false" ht="15" hidden="false" customHeight="false" outlineLevel="0" collapsed="false">
      <c r="A59" s="15"/>
      <c r="B59" s="6" t="str">
        <f aca="false">IF(A59="","",COUNTIFS('L5 Controls'!$B$2:$B$300,A59,'L5 Controls'!$A$2:$A$300,"&lt;&gt;EXAMPLE*"))</f>
        <v/>
      </c>
      <c r="C59" s="16"/>
      <c r="E59" s="15"/>
      <c r="F59" s="6" t="str">
        <f aca="false">IF(E59="","",COUNTIFS('L4 Moderators'!$B$2:$B$300,E59,'L4 Moderators'!$C$2:$C$300,"Tested",'L4 Moderators'!$A$2:$A$300,"&lt;&gt;EXAMPLE*"))</f>
        <v/>
      </c>
      <c r="G59" s="6" t="str">
        <f aca="false">IF(E59="","",COUNTIFS('L4 Moderators'!$B$2:$B$300,E59,'L4 Moderators'!$C$2:$C$300,"Suggested",'L4 Moderators'!$A$2:$A$300,"&lt;&gt;EXAMPLE*"))</f>
        <v/>
      </c>
      <c r="H59" s="16"/>
    </row>
    <row r="60" customFormat="false" ht="15" hidden="false" customHeight="false" outlineLevel="0" collapsed="false">
      <c r="A60" s="15"/>
      <c r="B60" s="6" t="str">
        <f aca="false">IF(A60="","",COUNTIFS('L5 Controls'!$B$2:$B$300,A60,'L5 Controls'!$A$2:$A$300,"&lt;&gt;EXAMPLE*"))</f>
        <v/>
      </c>
      <c r="C60" s="16"/>
      <c r="E60" s="15"/>
      <c r="F60" s="6" t="str">
        <f aca="false">IF(E60="","",COUNTIFS('L4 Moderators'!$B$2:$B$300,E60,'L4 Moderators'!$C$2:$C$300,"Tested",'L4 Moderators'!$A$2:$A$300,"&lt;&gt;EXAMPLE*"))</f>
        <v/>
      </c>
      <c r="G60" s="6" t="str">
        <f aca="false">IF(E60="","",COUNTIFS('L4 Moderators'!$B$2:$B$300,E60,'L4 Moderators'!$C$2:$C$300,"Suggested",'L4 Moderators'!$A$2:$A$300,"&lt;&gt;EXAMPLE*"))</f>
        <v/>
      </c>
      <c r="H60" s="16"/>
    </row>
    <row r="61" customFormat="false" ht="15" hidden="false" customHeight="false" outlineLevel="0" collapsed="false">
      <c r="A61" s="15"/>
      <c r="B61" s="6" t="str">
        <f aca="false">IF(A61="","",COUNTIFS('L5 Controls'!$B$2:$B$300,A61,'L5 Controls'!$A$2:$A$300,"&lt;&gt;EXAMPLE*"))</f>
        <v/>
      </c>
      <c r="C61" s="16"/>
      <c r="E61" s="15"/>
      <c r="F61" s="6" t="str">
        <f aca="false">IF(E61="","",COUNTIFS('L4 Moderators'!$B$2:$B$300,E61,'L4 Moderators'!$C$2:$C$300,"Tested",'L4 Moderators'!$A$2:$A$300,"&lt;&gt;EXAMPLE*"))</f>
        <v/>
      </c>
      <c r="G61" s="6" t="str">
        <f aca="false">IF(E61="","",COUNTIFS('L4 Moderators'!$B$2:$B$300,E61,'L4 Moderators'!$C$2:$C$300,"Suggested",'L4 Moderators'!$A$2:$A$300,"&lt;&gt;EXAMPLE*"))</f>
        <v/>
      </c>
      <c r="H61" s="16"/>
    </row>
    <row r="62" customFormat="false" ht="15" hidden="false" customHeight="false" outlineLevel="0" collapsed="false">
      <c r="A62" s="15"/>
      <c r="B62" s="6" t="str">
        <f aca="false">IF(A62="","",COUNTIFS('L5 Controls'!$B$2:$B$300,A62,'L5 Controls'!$A$2:$A$300,"&lt;&gt;EXAMPLE*"))</f>
        <v/>
      </c>
      <c r="C62" s="16"/>
      <c r="E62" s="15"/>
      <c r="F62" s="6" t="str">
        <f aca="false">IF(E62="","",COUNTIFS('L4 Moderators'!$B$2:$B$300,E62,'L4 Moderators'!$C$2:$C$300,"Tested",'L4 Moderators'!$A$2:$A$300,"&lt;&gt;EXAMPLE*"))</f>
        <v/>
      </c>
      <c r="G62" s="6" t="str">
        <f aca="false">IF(E62="","",COUNTIFS('L4 Moderators'!$B$2:$B$300,E62,'L4 Moderators'!$C$2:$C$300,"Suggested",'L4 Moderators'!$A$2:$A$300,"&lt;&gt;EXAMPLE*"))</f>
        <v/>
      </c>
      <c r="H62" s="16"/>
    </row>
    <row r="63" customFormat="false" ht="15" hidden="false" customHeight="false" outlineLevel="0" collapsed="false">
      <c r="A63" s="15"/>
      <c r="B63" s="6" t="str">
        <f aca="false">IF(A63="","",COUNTIFS('L5 Controls'!$B$2:$B$300,A63,'L5 Controls'!$A$2:$A$300,"&lt;&gt;EXAMPLE*"))</f>
        <v/>
      </c>
      <c r="C63" s="16"/>
      <c r="E63" s="15"/>
      <c r="F63" s="6" t="str">
        <f aca="false">IF(E63="","",COUNTIFS('L4 Moderators'!$B$2:$B$300,E63,'L4 Moderators'!$C$2:$C$300,"Tested",'L4 Moderators'!$A$2:$A$300,"&lt;&gt;EXAMPLE*"))</f>
        <v/>
      </c>
      <c r="G63" s="6" t="str">
        <f aca="false">IF(E63="","",COUNTIFS('L4 Moderators'!$B$2:$B$300,E63,'L4 Moderators'!$C$2:$C$300,"Suggested",'L4 Moderators'!$A$2:$A$300,"&lt;&gt;EXAMPLE*"))</f>
        <v/>
      </c>
      <c r="H63" s="16"/>
    </row>
    <row r="64" customFormat="false" ht="15" hidden="false" customHeight="false" outlineLevel="0" collapsed="false">
      <c r="A64" s="15"/>
      <c r="B64" s="6" t="str">
        <f aca="false">IF(A64="","",COUNTIFS('L5 Controls'!$B$2:$B$300,A64,'L5 Controls'!$A$2:$A$300,"&lt;&gt;EXAMPLE*"))</f>
        <v/>
      </c>
      <c r="C64" s="16"/>
      <c r="E64" s="15"/>
      <c r="F64" s="6" t="str">
        <f aca="false">IF(E64="","",COUNTIFS('L4 Moderators'!$B$2:$B$300,E64,'L4 Moderators'!$C$2:$C$300,"Tested",'L4 Moderators'!$A$2:$A$300,"&lt;&gt;EXAMPLE*"))</f>
        <v/>
      </c>
      <c r="G64" s="6" t="str">
        <f aca="false">IF(E64="","",COUNTIFS('L4 Moderators'!$B$2:$B$300,E64,'L4 Moderators'!$C$2:$C$300,"Suggested",'L4 Moderators'!$A$2:$A$300,"&lt;&gt;EXAMPLE*"))</f>
        <v/>
      </c>
      <c r="H64" s="16"/>
    </row>
    <row r="67" customFormat="false" ht="15" hidden="false" customHeight="false" outlineLevel="0" collapsed="false">
      <c r="A67" s="5" t="s">
        <v>641</v>
      </c>
    </row>
    <row r="68" customFormat="false" ht="15" hidden="false" customHeight="false" outlineLevel="0" collapsed="false">
      <c r="A68" s="17" t="s">
        <v>575</v>
      </c>
      <c r="B68" s="17" t="s">
        <v>581</v>
      </c>
      <c r="C68" s="17" t="s">
        <v>614</v>
      </c>
    </row>
    <row r="69" customFormat="false" ht="15" hidden="false" customHeight="false" outlineLevel="0" collapsed="false">
      <c r="A69" s="6" t="s">
        <v>582</v>
      </c>
      <c r="B69" s="6" t="n">
        <f aca="false">COUNTIFS('L4 Moderators'!$D$2:$D$300,A69,'L4 Moderators'!$C$2:$C$300,"Tested",'L4 Moderators'!$A$2:$A$300,"&lt;&gt;EXAMPLE*")</f>
        <v>0</v>
      </c>
      <c r="C69" s="6" t="n">
        <f aca="false">COUNTIFS('L4 Moderators'!$D$2:$D$300,A69,'L4 Moderators'!$C$2:$C$300,"Suggested",'L4 Moderators'!$A$2:$A$300,"&lt;&gt;EXAMPLE*")</f>
        <v>0</v>
      </c>
    </row>
    <row r="70" customFormat="false" ht="15" hidden="false" customHeight="false" outlineLevel="0" collapsed="false">
      <c r="A70" s="6" t="s">
        <v>642</v>
      </c>
      <c r="B70" s="6" t="n">
        <f aca="false">COUNTIFS('L4 Moderators'!$D$2:$D$300,A70,'L4 Moderators'!$C$2:$C$300,"Tested",'L4 Moderators'!$A$2:$A$300,"&lt;&gt;EXAMPLE*")</f>
        <v>0</v>
      </c>
      <c r="C70" s="6" t="n">
        <f aca="false">COUNTIFS('L4 Moderators'!$D$2:$D$300,A70,'L4 Moderators'!$C$2:$C$300,"Suggested",'L4 Moderators'!$A$2:$A$300,"&lt;&gt;EXAMPLE*")</f>
        <v>0</v>
      </c>
    </row>
    <row r="71" customFormat="false" ht="15" hidden="false" customHeight="false" outlineLevel="0" collapsed="false">
      <c r="A71" s="6" t="s">
        <v>643</v>
      </c>
      <c r="B71" s="6" t="n">
        <f aca="false">COUNTIFS('L4 Moderators'!$D$2:$D$300,A71,'L4 Moderators'!$C$2:$C$300,"Tested",'L4 Moderators'!$A$2:$A$300,"&lt;&gt;EXAMPLE*")</f>
        <v>0</v>
      </c>
      <c r="C71" s="6" t="n">
        <f aca="false">COUNTIFS('L4 Moderators'!$D$2:$D$300,A71,'L4 Moderators'!$C$2:$C$300,"Suggested",'L4 Moderators'!$A$2:$A$300,"&lt;&gt;EXAMPLE*")</f>
        <v>0</v>
      </c>
    </row>
    <row r="72" customFormat="false" ht="15" hidden="false" customHeight="false" outlineLevel="0" collapsed="false">
      <c r="A72" s="6" t="s">
        <v>644</v>
      </c>
      <c r="B72" s="6" t="n">
        <f aca="false">COUNTIFS('L4 Moderators'!$D$2:$D$300,A72,'L4 Moderators'!$C$2:$C$300,"Tested",'L4 Moderators'!$A$2:$A$300,"&lt;&gt;EXAMPLE*")</f>
        <v>0</v>
      </c>
      <c r="C72" s="6" t="n">
        <f aca="false">COUNTIFS('L4 Moderators'!$D$2:$D$300,A72,'L4 Moderators'!$C$2:$C$300,"Suggested",'L4 Moderators'!$A$2:$A$300,"&lt;&gt;EXAMPLE*")</f>
        <v>0</v>
      </c>
    </row>
    <row r="73" customFormat="false" ht="15" hidden="false" customHeight="false" outlineLevel="0" collapsed="false">
      <c r="A73" s="6" t="s">
        <v>645</v>
      </c>
      <c r="B73" s="6" t="n">
        <f aca="false">COUNTIFS('L4 Moderators'!$D$2:$D$300,A73,'L4 Moderators'!$C$2:$C$300,"Tested",'L4 Moderators'!$A$2:$A$300,"&lt;&gt;EXAMPLE*")</f>
        <v>0</v>
      </c>
      <c r="C73" s="6" t="n">
        <f aca="false">COUNTIFS('L4 Moderators'!$D$2:$D$300,A73,'L4 Moderators'!$C$2:$C$300,"Suggested",'L4 Moderators'!$A$2:$A$300,"&lt;&gt;EXAMPLE*")</f>
        <v>0</v>
      </c>
    </row>
    <row r="74" customFormat="false" ht="15" hidden="false" customHeight="false" outlineLevel="0" collapsed="false">
      <c r="A74" s="6" t="s">
        <v>646</v>
      </c>
      <c r="B74" s="6" t="n">
        <f aca="false">COUNTIFS('L4 Moderators'!$D$2:$D$300,A74,'L4 Moderators'!$C$2:$C$300,"Tested",'L4 Moderators'!$A$2:$A$300,"&lt;&gt;EXAMPLE*")</f>
        <v>0</v>
      </c>
      <c r="C74" s="6" t="n">
        <f aca="false">COUNTIFS('L4 Moderators'!$D$2:$D$300,A74,'L4 Moderators'!$C$2:$C$300,"Suggested",'L4 Moderators'!$A$2:$A$300,"&lt;&gt;EXAMPLE*")</f>
        <v>0</v>
      </c>
    </row>
    <row r="75" customFormat="false" ht="15" hidden="false" customHeight="false" outlineLevel="0" collapsed="false">
      <c r="A75" s="6" t="s">
        <v>647</v>
      </c>
      <c r="B75" s="6" t="n">
        <f aca="false">COUNTIFS('L4 Moderators'!$D$2:$D$300,A75,'L4 Moderators'!$C$2:$C$300,"Tested",'L4 Moderators'!$A$2:$A$300,"&lt;&gt;EXAMPLE*")</f>
        <v>0</v>
      </c>
      <c r="C75" s="6" t="n">
        <f aca="false">COUNTIFS('L4 Moderators'!$D$2:$D$300,A75,'L4 Moderators'!$C$2:$C$300,"Suggested",'L4 Moderators'!$A$2:$A$300,"&lt;&gt;EXAMPLE*")</f>
        <v>0</v>
      </c>
    </row>
    <row r="76" customFormat="false" ht="15" hidden="false" customHeight="false" outlineLevel="0" collapsed="false">
      <c r="A76" s="8" t="s">
        <v>648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6" min="5" style="0" width="40"/>
    <col collapsed="false" customWidth="true" hidden="false" outlineLevel="0" max="7" min="7" style="0" width="36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9" t="s">
        <v>649</v>
      </c>
      <c r="B1" s="9" t="s">
        <v>650</v>
      </c>
      <c r="C1" s="9" t="s">
        <v>651</v>
      </c>
      <c r="D1" s="9" t="s">
        <v>652</v>
      </c>
      <c r="E1" s="9" t="s">
        <v>653</v>
      </c>
      <c r="F1" s="9" t="s">
        <v>654</v>
      </c>
      <c r="G1" s="9" t="s">
        <v>655</v>
      </c>
      <c r="H1" s="9" t="s">
        <v>70</v>
      </c>
      <c r="I1" s="9" t="s">
        <v>656</v>
      </c>
      <c r="J1" s="9" t="s">
        <v>657</v>
      </c>
    </row>
    <row r="2" customFormat="false" ht="23.85" hidden="false" customHeight="false" outlineLevel="0" collapsed="false">
      <c r="A2" s="10" t="n">
        <v>1</v>
      </c>
      <c r="B2" s="10" t="s">
        <v>658</v>
      </c>
      <c r="C2" s="10" t="s">
        <v>659</v>
      </c>
      <c r="D2" s="10" t="s">
        <v>660</v>
      </c>
      <c r="E2" s="11" t="s">
        <v>661</v>
      </c>
      <c r="F2" s="11" t="s">
        <v>662</v>
      </c>
      <c r="G2" s="11" t="s">
        <v>663</v>
      </c>
      <c r="H2" s="11" t="s">
        <v>664</v>
      </c>
      <c r="I2" s="11"/>
      <c r="J2" s="11"/>
    </row>
    <row r="3" customFormat="false" ht="23.85" hidden="false" customHeight="false" outlineLevel="0" collapsed="false">
      <c r="A3" s="10" t="n">
        <v>2</v>
      </c>
      <c r="B3" s="10" t="s">
        <v>658</v>
      </c>
      <c r="C3" s="10" t="s">
        <v>665</v>
      </c>
      <c r="D3" s="10" t="s">
        <v>666</v>
      </c>
      <c r="E3" s="11" t="s">
        <v>667</v>
      </c>
      <c r="F3" s="11" t="s">
        <v>668</v>
      </c>
      <c r="G3" s="11" t="s">
        <v>669</v>
      </c>
      <c r="H3" s="11" t="s">
        <v>670</v>
      </c>
      <c r="I3" s="11" t="s">
        <v>671</v>
      </c>
      <c r="J3" s="11"/>
    </row>
    <row r="4" customFormat="false" ht="23.85" hidden="false" customHeight="false" outlineLevel="0" collapsed="false">
      <c r="A4" s="10" t="n">
        <v>3</v>
      </c>
      <c r="B4" s="10" t="s">
        <v>658</v>
      </c>
      <c r="C4" s="10" t="s">
        <v>672</v>
      </c>
      <c r="D4" s="10" t="s">
        <v>673</v>
      </c>
      <c r="E4" s="11" t="s">
        <v>674</v>
      </c>
      <c r="F4" s="11" t="s">
        <v>675</v>
      </c>
      <c r="G4" s="11" t="s">
        <v>676</v>
      </c>
      <c r="H4" s="11" t="s">
        <v>670</v>
      </c>
      <c r="I4" s="11" t="s">
        <v>677</v>
      </c>
      <c r="J4" s="11"/>
    </row>
    <row r="5" customFormat="false" ht="23.85" hidden="false" customHeight="false" outlineLevel="0" collapsed="false">
      <c r="A5" s="10" t="n">
        <v>4</v>
      </c>
      <c r="B5" s="10" t="s">
        <v>658</v>
      </c>
      <c r="C5" s="10" t="s">
        <v>678</v>
      </c>
      <c r="D5" s="10" t="s">
        <v>679</v>
      </c>
      <c r="E5" s="11" t="s">
        <v>680</v>
      </c>
      <c r="F5" s="11" t="s">
        <v>681</v>
      </c>
      <c r="G5" s="11" t="s">
        <v>682</v>
      </c>
      <c r="H5" s="11" t="s">
        <v>670</v>
      </c>
      <c r="I5" s="11"/>
      <c r="J5" s="11"/>
    </row>
    <row r="6" customFormat="false" ht="23.85" hidden="false" customHeight="false" outlineLevel="0" collapsed="false">
      <c r="A6" s="10" t="n">
        <v>5</v>
      </c>
      <c r="B6" s="10" t="s">
        <v>658</v>
      </c>
      <c r="C6" s="10" t="s">
        <v>683</v>
      </c>
      <c r="D6" s="10" t="s">
        <v>684</v>
      </c>
      <c r="E6" s="11" t="s">
        <v>685</v>
      </c>
      <c r="F6" s="11" t="s">
        <v>686</v>
      </c>
      <c r="G6" s="11" t="s">
        <v>687</v>
      </c>
      <c r="H6" s="11" t="s">
        <v>664</v>
      </c>
      <c r="I6" s="11"/>
      <c r="J6" s="11"/>
    </row>
    <row r="7" customFormat="false" ht="23.85" hidden="false" customHeight="false" outlineLevel="0" collapsed="false">
      <c r="A7" s="10" t="n">
        <v>6</v>
      </c>
      <c r="B7" s="10" t="s">
        <v>658</v>
      </c>
      <c r="C7" s="10" t="s">
        <v>688</v>
      </c>
      <c r="D7" s="10" t="s">
        <v>689</v>
      </c>
      <c r="E7" s="11" t="s">
        <v>690</v>
      </c>
      <c r="F7" s="11" t="s">
        <v>691</v>
      </c>
      <c r="G7" s="11" t="s">
        <v>692</v>
      </c>
      <c r="H7" s="11" t="s">
        <v>664</v>
      </c>
      <c r="I7" s="11" t="s">
        <v>693</v>
      </c>
      <c r="J7" s="11"/>
    </row>
    <row r="8" customFormat="false" ht="23.85" hidden="false" customHeight="false" outlineLevel="0" collapsed="false">
      <c r="A8" s="10" t="n">
        <v>7</v>
      </c>
      <c r="B8" s="10" t="s">
        <v>658</v>
      </c>
      <c r="C8" s="10" t="s">
        <v>694</v>
      </c>
      <c r="D8" s="10" t="s">
        <v>695</v>
      </c>
      <c r="E8" s="11" t="s">
        <v>696</v>
      </c>
      <c r="F8" s="11" t="s">
        <v>697</v>
      </c>
      <c r="G8" s="11" t="s">
        <v>698</v>
      </c>
      <c r="H8" s="11" t="s">
        <v>670</v>
      </c>
      <c r="I8" s="11" t="s">
        <v>699</v>
      </c>
      <c r="J8" s="11"/>
    </row>
    <row r="9" customFormat="false" ht="15" hidden="false" customHeight="false" outlineLevel="0" collapsed="false">
      <c r="A9" s="10" t="n">
        <v>8</v>
      </c>
      <c r="B9" s="10" t="s">
        <v>658</v>
      </c>
      <c r="C9" s="10" t="s">
        <v>700</v>
      </c>
      <c r="D9" s="10" t="s">
        <v>701</v>
      </c>
      <c r="E9" s="11" t="s">
        <v>702</v>
      </c>
      <c r="F9" s="11" t="s">
        <v>703</v>
      </c>
      <c r="G9" s="11" t="s">
        <v>704</v>
      </c>
      <c r="H9" s="11" t="s">
        <v>670</v>
      </c>
      <c r="I9" s="11" t="s">
        <v>705</v>
      </c>
      <c r="J9" s="11"/>
    </row>
    <row r="10" customFormat="false" ht="15" hidden="false" customHeight="false" outlineLevel="0" collapsed="false">
      <c r="A10" s="10" t="n">
        <v>9</v>
      </c>
      <c r="B10" s="10" t="s">
        <v>658</v>
      </c>
      <c r="C10" s="10" t="s">
        <v>706</v>
      </c>
      <c r="D10" s="10" t="s">
        <v>707</v>
      </c>
      <c r="E10" s="11" t="s">
        <v>708</v>
      </c>
      <c r="F10" s="11" t="s">
        <v>709</v>
      </c>
      <c r="G10" s="11" t="s">
        <v>682</v>
      </c>
      <c r="H10" s="11" t="s">
        <v>670</v>
      </c>
      <c r="I10" s="11"/>
      <c r="J10" s="11"/>
    </row>
    <row r="11" customFormat="false" ht="23.85" hidden="false" customHeight="false" outlineLevel="0" collapsed="false">
      <c r="A11" s="10" t="n">
        <v>10</v>
      </c>
      <c r="B11" s="10" t="s">
        <v>710</v>
      </c>
      <c r="C11" s="10" t="s">
        <v>711</v>
      </c>
      <c r="D11" s="10" t="s">
        <v>712</v>
      </c>
      <c r="E11" s="11" t="s">
        <v>713</v>
      </c>
      <c r="F11" s="11" t="s">
        <v>714</v>
      </c>
      <c r="G11" s="11" t="s">
        <v>715</v>
      </c>
      <c r="H11" s="11" t="s">
        <v>670</v>
      </c>
      <c r="I11" s="11" t="s">
        <v>716</v>
      </c>
      <c r="J11" s="11"/>
    </row>
    <row r="12" customFormat="false" ht="23.85" hidden="false" customHeight="false" outlineLevel="0" collapsed="false">
      <c r="A12" s="10" t="n">
        <v>11</v>
      </c>
      <c r="B12" s="10" t="s">
        <v>710</v>
      </c>
      <c r="C12" s="10" t="s">
        <v>717</v>
      </c>
      <c r="D12" s="10" t="s">
        <v>718</v>
      </c>
      <c r="E12" s="11" t="s">
        <v>719</v>
      </c>
      <c r="F12" s="11" t="s">
        <v>720</v>
      </c>
      <c r="G12" s="11" t="s">
        <v>721</v>
      </c>
      <c r="H12" s="11" t="s">
        <v>722</v>
      </c>
      <c r="I12" s="11"/>
      <c r="J12" s="11"/>
    </row>
    <row r="13" customFormat="false" ht="23.85" hidden="false" customHeight="false" outlineLevel="0" collapsed="false">
      <c r="A13" s="10" t="n">
        <v>12</v>
      </c>
      <c r="B13" s="10" t="s">
        <v>710</v>
      </c>
      <c r="C13" s="10" t="s">
        <v>723</v>
      </c>
      <c r="D13" s="10"/>
      <c r="E13" s="11" t="s">
        <v>724</v>
      </c>
      <c r="F13" s="11" t="s">
        <v>725</v>
      </c>
      <c r="G13" s="11" t="s">
        <v>726</v>
      </c>
      <c r="H13" s="11" t="s">
        <v>670</v>
      </c>
      <c r="I13" s="11"/>
      <c r="J13" s="11"/>
    </row>
    <row r="14" customFormat="false" ht="23.85" hidden="false" customHeight="false" outlineLevel="0" collapsed="false">
      <c r="A14" s="10" t="n">
        <v>13</v>
      </c>
      <c r="B14" s="10" t="s">
        <v>554</v>
      </c>
      <c r="C14" s="10" t="s">
        <v>727</v>
      </c>
      <c r="D14" s="10" t="s">
        <v>728</v>
      </c>
      <c r="E14" s="11" t="s">
        <v>729</v>
      </c>
      <c r="F14" s="11" t="s">
        <v>730</v>
      </c>
      <c r="G14" s="11" t="s">
        <v>731</v>
      </c>
      <c r="H14" s="11" t="s">
        <v>664</v>
      </c>
      <c r="I14" s="11" t="s">
        <v>732</v>
      </c>
      <c r="J14" s="11"/>
    </row>
    <row r="15" customFormat="false" ht="15" hidden="false" customHeight="false" outlineLevel="0" collapsed="false">
      <c r="A15" s="10" t="n">
        <v>14</v>
      </c>
      <c r="B15" s="10" t="s">
        <v>554</v>
      </c>
      <c r="C15" s="10" t="s">
        <v>733</v>
      </c>
      <c r="D15" s="10"/>
      <c r="E15" s="11" t="s">
        <v>734</v>
      </c>
      <c r="F15" s="11" t="s">
        <v>735</v>
      </c>
      <c r="G15" s="11" t="s">
        <v>736</v>
      </c>
      <c r="H15" s="11" t="s">
        <v>670</v>
      </c>
      <c r="I15" s="11"/>
      <c r="J15" s="11"/>
    </row>
    <row r="16" customFormat="false" ht="15" hidden="false" customHeight="false" outlineLevel="0" collapsed="false">
      <c r="A16" s="10" t="n">
        <v>15</v>
      </c>
      <c r="B16" s="10" t="s">
        <v>554</v>
      </c>
      <c r="C16" s="10" t="s">
        <v>737</v>
      </c>
      <c r="D16" s="10"/>
      <c r="E16" s="11" t="s">
        <v>738</v>
      </c>
      <c r="F16" s="11" t="s">
        <v>739</v>
      </c>
      <c r="G16" s="11" t="s">
        <v>740</v>
      </c>
      <c r="H16" s="11" t="s">
        <v>670</v>
      </c>
      <c r="I16" s="11"/>
      <c r="J16" s="11"/>
    </row>
    <row r="17" customFormat="false" ht="35.05" hidden="false" customHeight="false" outlineLevel="0" collapsed="false">
      <c r="A17" s="10" t="n">
        <v>16</v>
      </c>
      <c r="B17" s="10" t="s">
        <v>741</v>
      </c>
      <c r="C17" s="10" t="s">
        <v>568</v>
      </c>
      <c r="D17" s="10" t="s">
        <v>742</v>
      </c>
      <c r="E17" s="11" t="s">
        <v>743</v>
      </c>
      <c r="F17" s="11" t="s">
        <v>744</v>
      </c>
      <c r="G17" s="11" t="s">
        <v>745</v>
      </c>
      <c r="H17" s="11" t="s">
        <v>670</v>
      </c>
      <c r="I17" s="11"/>
      <c r="J17" s="11"/>
    </row>
    <row r="18" customFormat="false" ht="23.85" hidden="false" customHeight="false" outlineLevel="0" collapsed="false">
      <c r="A18" s="10" t="n">
        <v>17</v>
      </c>
      <c r="B18" s="10" t="s">
        <v>741</v>
      </c>
      <c r="C18" s="10" t="s">
        <v>746</v>
      </c>
      <c r="D18" s="10" t="s">
        <v>747</v>
      </c>
      <c r="E18" s="11" t="s">
        <v>748</v>
      </c>
      <c r="F18" s="11" t="s">
        <v>749</v>
      </c>
      <c r="G18" s="11" t="s">
        <v>750</v>
      </c>
      <c r="H18" s="11" t="s">
        <v>670</v>
      </c>
      <c r="I18" s="11"/>
      <c r="J18" s="11"/>
    </row>
    <row r="19" customFormat="false" ht="23.85" hidden="false" customHeight="false" outlineLevel="0" collapsed="false">
      <c r="A19" s="10" t="n">
        <v>18</v>
      </c>
      <c r="B19" s="10" t="s">
        <v>741</v>
      </c>
      <c r="C19" s="10" t="s">
        <v>634</v>
      </c>
      <c r="D19" s="10"/>
      <c r="E19" s="11" t="s">
        <v>751</v>
      </c>
      <c r="F19" s="11" t="s">
        <v>752</v>
      </c>
      <c r="G19" s="11" t="s">
        <v>753</v>
      </c>
      <c r="H19" s="11" t="s">
        <v>670</v>
      </c>
      <c r="I19" s="11"/>
      <c r="J19" s="11"/>
    </row>
    <row r="20" customFormat="false" ht="23.85" hidden="false" customHeight="false" outlineLevel="0" collapsed="false">
      <c r="A20" s="10" t="n">
        <v>19</v>
      </c>
      <c r="B20" s="10" t="s">
        <v>167</v>
      </c>
      <c r="C20" s="10" t="s">
        <v>754</v>
      </c>
      <c r="D20" s="10" t="s">
        <v>755</v>
      </c>
      <c r="E20" s="11" t="s">
        <v>756</v>
      </c>
      <c r="F20" s="11" t="s">
        <v>757</v>
      </c>
      <c r="G20" s="11" t="s">
        <v>758</v>
      </c>
      <c r="H20" s="11" t="s">
        <v>670</v>
      </c>
      <c r="I20" s="11"/>
      <c r="J20" s="11"/>
    </row>
    <row r="21" customFormat="false" ht="35.05" hidden="false" customHeight="false" outlineLevel="0" collapsed="false">
      <c r="A21" s="10" t="n">
        <v>20</v>
      </c>
      <c r="B21" s="10" t="s">
        <v>167</v>
      </c>
      <c r="C21" s="10" t="s">
        <v>759</v>
      </c>
      <c r="D21" s="10" t="s">
        <v>760</v>
      </c>
      <c r="E21" s="11" t="s">
        <v>761</v>
      </c>
      <c r="F21" s="11" t="s">
        <v>762</v>
      </c>
      <c r="G21" s="11" t="s">
        <v>763</v>
      </c>
      <c r="H21" s="11" t="s">
        <v>670</v>
      </c>
      <c r="I21" s="11"/>
      <c r="J21" s="11"/>
    </row>
    <row r="22" customFormat="false" ht="23.85" hidden="false" customHeight="false" outlineLevel="0" collapsed="false">
      <c r="A22" s="10" t="n">
        <v>21</v>
      </c>
      <c r="B22" s="10" t="s">
        <v>167</v>
      </c>
      <c r="C22" s="10" t="s">
        <v>622</v>
      </c>
      <c r="D22" s="10" t="s">
        <v>764</v>
      </c>
      <c r="E22" s="11" t="s">
        <v>765</v>
      </c>
      <c r="F22" s="11" t="s">
        <v>766</v>
      </c>
      <c r="G22" s="11" t="s">
        <v>767</v>
      </c>
      <c r="H22" s="11" t="s">
        <v>670</v>
      </c>
      <c r="I22" s="11"/>
      <c r="J22" s="11"/>
    </row>
    <row r="23" customFormat="false" ht="23.85" hidden="false" customHeight="false" outlineLevel="0" collapsed="false">
      <c r="A23" s="10" t="n">
        <v>22</v>
      </c>
      <c r="B23" s="10" t="s">
        <v>768</v>
      </c>
      <c r="C23" s="10" t="s">
        <v>769</v>
      </c>
      <c r="D23" s="10"/>
      <c r="E23" s="11" t="s">
        <v>770</v>
      </c>
      <c r="F23" s="11" t="s">
        <v>771</v>
      </c>
      <c r="G23" s="11" t="s">
        <v>772</v>
      </c>
      <c r="H23" s="11" t="s">
        <v>670</v>
      </c>
      <c r="I23" s="11"/>
      <c r="J23" s="11"/>
    </row>
    <row r="24" customFormat="false" ht="23.85" hidden="false" customHeight="false" outlineLevel="0" collapsed="false">
      <c r="A24" s="10" t="n">
        <v>23</v>
      </c>
      <c r="B24" s="10" t="s">
        <v>768</v>
      </c>
      <c r="C24" s="10" t="s">
        <v>773</v>
      </c>
      <c r="D24" s="10"/>
      <c r="E24" s="11" t="s">
        <v>774</v>
      </c>
      <c r="F24" s="11" t="s">
        <v>771</v>
      </c>
      <c r="G24" s="11" t="s">
        <v>775</v>
      </c>
      <c r="H24" s="11" t="s">
        <v>670</v>
      </c>
      <c r="I24" s="11"/>
      <c r="J24" s="11"/>
    </row>
    <row r="25" customFormat="false" ht="15" hidden="false" customHeight="false" outlineLevel="0" collapsed="false">
      <c r="A25" s="10" t="n">
        <v>24</v>
      </c>
      <c r="B25" s="10" t="s">
        <v>768</v>
      </c>
      <c r="C25" s="10" t="s">
        <v>776</v>
      </c>
      <c r="D25" s="10"/>
      <c r="E25" s="11" t="s">
        <v>777</v>
      </c>
      <c r="F25" s="11" t="s">
        <v>771</v>
      </c>
      <c r="G25" s="11" t="s">
        <v>682</v>
      </c>
      <c r="H25" s="11" t="s">
        <v>670</v>
      </c>
      <c r="I25" s="11"/>
      <c r="J25" s="11"/>
    </row>
    <row r="26" customFormat="false" ht="35.05" hidden="false" customHeight="false" outlineLevel="0" collapsed="false">
      <c r="A26" s="10" t="n">
        <v>25</v>
      </c>
      <c r="B26" s="10" t="s">
        <v>768</v>
      </c>
      <c r="C26" s="10" t="s">
        <v>778</v>
      </c>
      <c r="D26" s="10"/>
      <c r="E26" s="11" t="s">
        <v>779</v>
      </c>
      <c r="F26" s="11" t="s">
        <v>780</v>
      </c>
      <c r="G26" s="11" t="s">
        <v>781</v>
      </c>
      <c r="H26" s="11" t="s">
        <v>670</v>
      </c>
      <c r="I26" s="11"/>
      <c r="J26" s="11"/>
    </row>
    <row r="27" customFormat="false" ht="15" hidden="false" customHeight="false" outlineLevel="0" collapsed="false">
      <c r="A27" s="10" t="n">
        <v>26</v>
      </c>
      <c r="B27" s="10" t="s">
        <v>768</v>
      </c>
      <c r="C27" s="10" t="s">
        <v>782</v>
      </c>
      <c r="D27" s="10"/>
      <c r="E27" s="11" t="s">
        <v>783</v>
      </c>
      <c r="F27" s="11" t="s">
        <v>784</v>
      </c>
      <c r="G27" s="11" t="s">
        <v>682</v>
      </c>
      <c r="H27" s="11" t="s">
        <v>670</v>
      </c>
      <c r="I27" s="11"/>
      <c r="J27" s="11"/>
    </row>
    <row r="28" customFormat="false" ht="23.85" hidden="false" customHeight="false" outlineLevel="0" collapsed="false">
      <c r="A28" s="10" t="n">
        <v>27</v>
      </c>
      <c r="B28" s="10" t="s">
        <v>785</v>
      </c>
      <c r="C28" s="10" t="s">
        <v>786</v>
      </c>
      <c r="D28" s="10" t="s">
        <v>787</v>
      </c>
      <c r="E28" s="11" t="s">
        <v>788</v>
      </c>
      <c r="F28" s="11" t="s">
        <v>789</v>
      </c>
      <c r="G28" s="11" t="s">
        <v>790</v>
      </c>
      <c r="H28" s="11" t="s">
        <v>664</v>
      </c>
      <c r="I28" s="11"/>
      <c r="J28" s="11"/>
    </row>
    <row r="29" customFormat="false" ht="23.85" hidden="false" customHeight="false" outlineLevel="0" collapsed="false">
      <c r="A29" s="10" t="n">
        <v>28</v>
      </c>
      <c r="B29" s="10" t="s">
        <v>785</v>
      </c>
      <c r="C29" s="10" t="s">
        <v>791</v>
      </c>
      <c r="D29" s="10" t="s">
        <v>792</v>
      </c>
      <c r="E29" s="11" t="s">
        <v>793</v>
      </c>
      <c r="F29" s="11" t="s">
        <v>794</v>
      </c>
      <c r="G29" s="11" t="s">
        <v>795</v>
      </c>
      <c r="H29" s="11" t="s">
        <v>670</v>
      </c>
      <c r="I29" s="11"/>
      <c r="J29" s="11"/>
    </row>
    <row r="30" customFormat="false" ht="15" hidden="false" customHeight="false" outlineLevel="0" collapsed="false">
      <c r="A30" s="10" t="n">
        <v>29</v>
      </c>
      <c r="B30" s="10" t="s">
        <v>785</v>
      </c>
      <c r="C30" s="10" t="s">
        <v>796</v>
      </c>
      <c r="D30" s="10" t="s">
        <v>797</v>
      </c>
      <c r="E30" s="11" t="s">
        <v>798</v>
      </c>
      <c r="F30" s="11" t="s">
        <v>799</v>
      </c>
      <c r="G30" s="11" t="s">
        <v>800</v>
      </c>
      <c r="H30" s="11" t="s">
        <v>670</v>
      </c>
      <c r="I30" s="11" t="s">
        <v>801</v>
      </c>
      <c r="J30" s="11"/>
    </row>
    <row r="31" customFormat="false" ht="23.85" hidden="false" customHeight="false" outlineLevel="0" collapsed="false">
      <c r="A31" s="10" t="n">
        <v>30</v>
      </c>
      <c r="B31" s="10" t="s">
        <v>785</v>
      </c>
      <c r="C31" s="10" t="s">
        <v>802</v>
      </c>
      <c r="D31" s="10" t="s">
        <v>803</v>
      </c>
      <c r="E31" s="11" t="s">
        <v>804</v>
      </c>
      <c r="F31" s="11" t="s">
        <v>805</v>
      </c>
      <c r="G31" s="11" t="s">
        <v>806</v>
      </c>
      <c r="H31" s="11" t="s">
        <v>670</v>
      </c>
      <c r="I31" s="11" t="s">
        <v>807</v>
      </c>
      <c r="J31" s="11"/>
    </row>
    <row r="32" customFormat="false" ht="35.05" hidden="false" customHeight="false" outlineLevel="0" collapsed="false">
      <c r="A32" s="10" t="n">
        <v>31</v>
      </c>
      <c r="B32" s="10" t="s">
        <v>785</v>
      </c>
      <c r="C32" s="10" t="s">
        <v>808</v>
      </c>
      <c r="D32" s="10"/>
      <c r="E32" s="11" t="s">
        <v>809</v>
      </c>
      <c r="F32" s="11" t="s">
        <v>810</v>
      </c>
      <c r="G32" s="11" t="s">
        <v>811</v>
      </c>
      <c r="H32" s="11" t="s">
        <v>670</v>
      </c>
      <c r="I32" s="11"/>
      <c r="J32" s="11"/>
    </row>
    <row r="33" customFormat="false" ht="15" hidden="false" customHeight="false" outlineLevel="0" collapsed="false">
      <c r="A33" s="10"/>
      <c r="B33" s="10"/>
      <c r="C33" s="10"/>
      <c r="D33" s="10"/>
      <c r="E33" s="11"/>
      <c r="F33" s="11"/>
      <c r="G33" s="11"/>
      <c r="H33" s="11"/>
      <c r="I33" s="11"/>
      <c r="J33" s="11"/>
    </row>
    <row r="34" customFormat="false" ht="15" hidden="false" customHeight="false" outlineLevel="0" collapsed="false">
      <c r="A34" s="10"/>
      <c r="B34" s="10"/>
      <c r="C34" s="10"/>
      <c r="D34" s="10"/>
      <c r="E34" s="11"/>
      <c r="F34" s="11"/>
      <c r="G34" s="11"/>
      <c r="H34" s="11"/>
      <c r="I34" s="11"/>
      <c r="J34" s="11"/>
    </row>
    <row r="35" customFormat="false" ht="15" hidden="false" customHeight="false" outlineLevel="0" collapsed="false">
      <c r="A35" s="10"/>
      <c r="B35" s="10"/>
      <c r="C35" s="10"/>
      <c r="D35" s="10"/>
      <c r="E35" s="11"/>
      <c r="F35" s="11"/>
      <c r="G35" s="11"/>
      <c r="H35" s="11"/>
      <c r="I35" s="11"/>
      <c r="J35" s="11"/>
    </row>
    <row r="36" customFormat="false" ht="15" hidden="false" customHeight="false" outlineLevel="0" collapsed="false">
      <c r="A36" s="10"/>
      <c r="B36" s="10"/>
      <c r="C36" s="10"/>
      <c r="D36" s="10"/>
      <c r="E36" s="11"/>
      <c r="F36" s="11"/>
      <c r="G36" s="11"/>
      <c r="H36" s="11"/>
      <c r="I36" s="11"/>
      <c r="J36" s="11"/>
    </row>
    <row r="37" customFormat="false" ht="15" hidden="false" customHeight="false" outlineLevel="0" collapsed="false">
      <c r="A37" s="10"/>
      <c r="B37" s="10"/>
      <c r="C37" s="10"/>
      <c r="D37" s="10"/>
      <c r="E37" s="11"/>
      <c r="F37" s="11"/>
      <c r="G37" s="11"/>
      <c r="H37" s="11"/>
      <c r="I37" s="11"/>
      <c r="J37" s="11"/>
    </row>
    <row r="38" customFormat="false" ht="15" hidden="false" customHeight="false" outlineLevel="0" collapsed="false">
      <c r="A38" s="10"/>
      <c r="B38" s="10"/>
      <c r="C38" s="10"/>
      <c r="D38" s="10"/>
      <c r="E38" s="11"/>
      <c r="F38" s="11"/>
      <c r="G38" s="11"/>
      <c r="H38" s="11"/>
      <c r="I38" s="11"/>
      <c r="J38" s="11"/>
    </row>
    <row r="39" customFormat="false" ht="15" hidden="false" customHeight="false" outlineLevel="0" collapsed="false">
      <c r="A39" s="10"/>
      <c r="B39" s="10"/>
      <c r="C39" s="10"/>
      <c r="D39" s="10"/>
      <c r="E39" s="11"/>
      <c r="F39" s="11"/>
      <c r="G39" s="11"/>
      <c r="H39" s="11"/>
      <c r="I39" s="11"/>
      <c r="J39" s="11"/>
    </row>
    <row r="40" customFormat="false" ht="15" hidden="false" customHeight="false" outlineLevel="0" collapsed="false">
      <c r="A40" s="10"/>
      <c r="B40" s="10"/>
      <c r="C40" s="10"/>
      <c r="D40" s="10"/>
      <c r="E40" s="11"/>
      <c r="F40" s="11"/>
      <c r="G40" s="11"/>
      <c r="H40" s="11"/>
      <c r="I40" s="11"/>
      <c r="J40" s="11"/>
    </row>
    <row r="41" customFormat="false" ht="15" hidden="false" customHeight="false" outlineLevel="0" collapsed="false">
      <c r="A41" s="10"/>
      <c r="B41" s="10"/>
      <c r="C41" s="10"/>
      <c r="D41" s="10"/>
      <c r="E41" s="11"/>
      <c r="F41" s="11"/>
      <c r="G41" s="11"/>
      <c r="H41" s="11"/>
      <c r="I41" s="11"/>
      <c r="J41" s="11"/>
    </row>
    <row r="42" customFormat="false" ht="15" hidden="false" customHeight="false" outlineLevel="0" collapsed="false">
      <c r="A42" s="10"/>
      <c r="B42" s="10"/>
      <c r="C42" s="10"/>
      <c r="D42" s="10"/>
      <c r="E42" s="11"/>
      <c r="F42" s="11"/>
      <c r="G42" s="11"/>
      <c r="H42" s="11"/>
      <c r="I42" s="11"/>
      <c r="J42" s="11"/>
    </row>
  </sheetData>
  <autoFilter ref="A1:J42"/>
  <dataValidations count="1">
    <dataValidation allowBlank="true" errorStyle="stop" operator="between" showDropDown="false" showErrorMessage="false" showInputMessage="false" sqref="H2:H42" type="list">
      <formula1>"Set by supervisor,Supervisor suggestion,Candidate,Decided,Check in LSEG,Dropped"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2026-10-06T11:50:21Z</dcterms:created>
  <dc:creator>openpyxl</dc:creator>
  <dc:description/>
  <dc:language>en-US</dc:language>
  <cp:lastModifiedBy/>
  <dcterms:modified xsi:type="dcterms:W3CDTF">2026-10-06T11:50:21Z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